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ab0cd2ff049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odologia" sheetId="1" r:id="R8ac3e9b08e044e76"/>
    <x:sheet xmlns:r="http://schemas.openxmlformats.org/officeDocument/2006/relationships" name="Resumo" sheetId="2" r:id="R17afdeef52204e3e"/>
    <x:sheet xmlns:r="http://schemas.openxmlformats.org/officeDocument/2006/relationships" name="Auditoria 251" sheetId="3" r:id="Rea3fddebefcc4ba7"/>
    <x:sheet xmlns:r="http://schemas.openxmlformats.org/officeDocument/2006/relationships" name="Volcanic" sheetId="4" r:id="Refb2d95f61a240e8"/>
    <x:sheet xmlns:r="http://schemas.openxmlformats.org/officeDocument/2006/relationships" name="Raibolt" sheetId="5" r:id="R55cd2ee9001248f8"/>
    <x:sheet xmlns:r="http://schemas.openxmlformats.org/officeDocument/2006/relationships" name="Orebound" sheetId="6" r:id="Rfd437c774dd44e6f"/>
    <x:sheet xmlns:r="http://schemas.openxmlformats.org/officeDocument/2006/relationships" name="Naturia" sheetId="7" r:id="Re9388bd559b54dcd"/>
    <x:sheet xmlns:r="http://schemas.openxmlformats.org/officeDocument/2006/relationships" name="Gardestrike" sheetId="8" r:id="Ra668413ff54d49b2"/>
    <x:sheet xmlns:r="http://schemas.openxmlformats.org/officeDocument/2006/relationships" name="Ironhard" sheetId="9" r:id="Re647c36b8d904f32"/>
    <x:sheet xmlns:r="http://schemas.openxmlformats.org/officeDocument/2006/relationships" name="Wingeon" sheetId="10" r:id="R85e4d27fbc7e4394"/>
    <x:sheet xmlns:r="http://schemas.openxmlformats.org/officeDocument/2006/relationships" name="Psycraft" sheetId="11" r:id="R8dac248d4ca64fb0"/>
    <x:sheet xmlns:r="http://schemas.openxmlformats.org/officeDocument/2006/relationships" name="Seavell" sheetId="12" r:id="R5af33ab5c36f40ef"/>
    <x:sheet xmlns:r="http://schemas.openxmlformats.org/officeDocument/2006/relationships" name="Malefic" sheetId="13" r:id="R43c0b1d11bba4e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0.0"/>
  </x:numFmts>
  <x:fonts count="10">
    <x:font>
      <x:sz val="11"/>
      <x:name val="Carlito"/>
    </x:font>
    <x:font>
      <x:b/>
      <x:sz val="18"/>
      <x:color rgb="FFF7EEE7"/>
      <x:name val="Carlito"/>
    </x:font>
    <x:font>
      <x:sz val="10"/>
      <x:color rgb="FFB5A196"/>
      <x:name val="Carlito"/>
    </x:font>
    <x:font>
      <x:b/>
      <x:sz val="12"/>
      <x:color rgb="FFE5B34F"/>
      <x:name val="Carlito"/>
    </x:font>
    <x:font>
      <x:b/>
      <x:sz val="10"/>
      <x:color rgb="FFE5B34F"/>
      <x:name val="Carlito"/>
    </x:font>
    <x:font>
      <x:sz val="9"/>
      <x:color rgb="FFF7EEE7"/>
      <x:name val="Carlito"/>
    </x:font>
    <x:font>
      <x:b/>
      <x:sz val="9"/>
      <x:color rgb="FFF7EEE7"/>
      <x:name val="Carlito"/>
    </x:font>
    <x:font>
      <x:b/>
      <x:sz val="9"/>
      <x:color rgb="FFE5B34F"/>
      <x:name val="Carlito"/>
    </x:font>
    <x:font>
      <x:sz val="9"/>
      <x:color rgb="FF5F8DF0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A0605"/>
      </x:patternFill>
    </x:fill>
    <x:fill>
      <x:patternFill patternType="solid">
        <x:fgColor rgb="FF1E1210"/>
      </x:patternFill>
    </x:fill>
    <x:fill>
      <x:patternFill patternType="solid">
        <x:fgColor rgb="FF150D0B"/>
      </x:patternFill>
    </x:fill>
    <x:fill>
      <x:patternFill patternType="solid">
        <x:fgColor rgb="FFC33629"/>
      </x:patternFill>
    </x:fill>
  </x:fills>
  <x:borders count="10">
    <x:border/>
    <x:border/>
    <x:border>
      <x:right style="hair">
        <x:color rgb="FF4B3028"/>
      </x:right>
    </x:border>
    <x:border>
      <x:right style="hair">
        <x:color rgb="FF4B3028"/>
      </x:right>
      <x:bottom style="hair">
        <x:color rgb="FF4B3028"/>
      </x:bottom>
    </x:border>
    <x:border>
      <x:right style="hair">
        <x:color rgb="FF4B3028"/>
      </x:right>
    </x:border>
    <x:border>
      <x:right style="hair">
        <x:color rgb="FF4B3028"/>
      </x:right>
      <x:bottom style="hair">
        <x:color rgb="FF4B3028"/>
      </x:bottom>
    </x:border>
    <x:border>
      <x:bottom style="hair">
        <x:color rgb="FF4B3028"/>
      </x:bottom>
    </x:border>
    <x:border>
      <x:bottom style="hair">
        <x:color rgb="FF4B3028"/>
      </x:bottom>
    </x:border>
    <x:border>
      <x:bottom style="thin">
        <x:color rgb="FFE5B34F"/>
      </x:bottom>
    </x:border>
    <x:border>
      <x:bottom style="thin">
        <x:color rgb="FFE5B34F"/>
      </x:bottom>
    </x:border>
  </x:borders>
  <x:cellStyleXfs count="1">
    <x:xf numFmtId="0" fontId="0" fillId="0" borderId="0"/>
  </x:cellStyleXfs>
  <x:cellXfs count="1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4" fillId="4" borderId="3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4" xfId="0" applyNumberFormat="1" applyFont="1" applyFill="1" applyBorder="1" applyAlignment="1">
      <x:alignment vertical="top"/>
    </x:xf>
    <x:xf numFmtId="0" fontId="4" fillId="4" borderId="5" xfId="0" applyNumberFormat="1" applyFont="1" applyFill="1" applyBorder="1" applyAlignment="1">
      <x:alignment vertical="top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6" xfId="0" applyNumberFormat="1" applyFont="1" applyFill="1" applyBorder="1"/>
    <x:xf numFmtId="0" fontId="5" fillId="4" borderId="3" xfId="0" applyNumberFormat="1" applyFont="1" applyFill="1" applyBorder="1"/>
    <x:xf numFmtId="0" fontId="5" fillId="4" borderId="0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vertical="top"/>
    </x:xf>
    <x:xf numFmtId="0" fontId="5" fillId="4" borderId="6" xfId="0" applyNumberFormat="1" applyFont="1" applyFill="1" applyBorder="1" applyAlignment="1">
      <x:alignment vertical="top"/>
    </x:xf>
    <x:xf numFmtId="0" fontId="5" fillId="4" borderId="3" xfId="0" applyNumberFormat="1" applyFont="1" applyFill="1" applyBorder="1" applyAlignment="1">
      <x:alignment vertical="top"/>
    </x:xf>
    <x:xf numFmtId="0" fontId="5" fillId="4" borderId="1" xfId="0" applyNumberFormat="1" applyFont="1" applyFill="1" applyBorder="1"/>
    <x:xf numFmtId="0" fontId="5" fillId="4" borderId="4" xfId="0" applyNumberFormat="1" applyFont="1" applyFill="1" applyBorder="1"/>
    <x:xf numFmtId="0" fontId="5" fillId="4" borderId="7" xfId="0" applyNumberFormat="1" applyFont="1" applyFill="1" applyBorder="1"/>
    <x:xf numFmtId="0" fontId="5" fillId="4" borderId="5" xfId="0" applyNumberFormat="1" applyFont="1" applyFill="1" applyBorder="1"/>
    <x:xf numFmtId="0" fontId="5" fillId="4" borderId="1" xfId="0" applyNumberFormat="1" applyFont="1" applyFill="1" applyBorder="1" applyAlignment="1">
      <x:alignment vertical="top"/>
    </x:xf>
    <x:xf numFmtId="0" fontId="5" fillId="4" borderId="4" xfId="0" applyNumberFormat="1" applyFont="1" applyFill="1" applyBorder="1" applyAlignment="1">
      <x:alignment vertical="top"/>
    </x:xf>
    <x:xf numFmtId="0" fontId="5" fillId="4" borderId="7" xfId="0" applyNumberFormat="1" applyFont="1" applyFill="1" applyBorder="1" applyAlignment="1">
      <x:alignment vertical="top"/>
    </x:xf>
    <x:xf numFmtId="0" fontId="5" fillId="4" borderId="5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/>
    </x:xf>
    <x:xf numFmtId="0" fontId="6" fillId="4" borderId="6" xfId="0" applyNumberFormat="1" applyFont="1" applyFill="1" applyBorder="1" applyAlignment="1">
      <x:alignment vertical="top"/>
    </x:xf>
    <x:xf numFmtId="0" fontId="6" fillId="4" borderId="1" xfId="0" applyNumberFormat="1" applyFont="1" applyFill="1" applyBorder="1" applyAlignment="1">
      <x:alignment vertical="top"/>
    </x:xf>
    <x:xf numFmtId="0" fontId="6" fillId="4" borderId="7" xfId="0" applyNumberFormat="1" applyFont="1" applyFill="1" applyBorder="1" applyAlignment="1">
      <x:alignment vertical="top"/>
    </x:xf>
    <x:xf numFmtId="200" fontId="5" fillId="4" borderId="0" xfId="0" applyNumberFormat="1" applyFont="1" applyFill="1" applyBorder="1" applyAlignment="1">
      <x:alignment vertical="top"/>
    </x:xf>
    <x:xf numFmtId="200" fontId="5" fillId="4" borderId="6" xfId="0" applyNumberFormat="1" applyFont="1" applyFill="1" applyBorder="1" applyAlignment="1">
      <x:alignment vertical="top"/>
    </x:xf>
    <x:xf numFmtId="200" fontId="5" fillId="4" borderId="1" xfId="0" applyNumberFormat="1" applyFont="1" applyFill="1" applyBorder="1" applyAlignment="1">
      <x:alignment vertical="top"/>
    </x:xf>
    <x:xf numFmtId="200" fontId="5" fillId="4" borderId="7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6" xfId="0" applyNumberFormat="1" applyFont="1" applyFill="1" applyBorder="1" applyAlignment="1">
      <x:alignment vertical="top"/>
    </x:xf>
    <x:xf numFmtId="0" fontId="7" fillId="4" borderId="1" xfId="0" applyNumberFormat="1" applyFont="1" applyFill="1" applyBorder="1" applyAlignment="1">
      <x:alignment vertical="top"/>
    </x:xf>
    <x:xf numFmtId="0" fontId="7" fillId="4" borderId="7" xfId="0" applyNumberFormat="1" applyFont="1" applyFill="1" applyBorder="1" applyAlignment="1">
      <x:alignment vertical="top"/>
    </x:xf>
    <x:xf numFmtId="0" fontId="8" fillId="4" borderId="0" xfId="0" applyNumberFormat="1" applyFont="1" applyFill="1" applyBorder="1" applyAlignment="1">
      <x:alignment vertical="top"/>
    </x:xf>
    <x:xf numFmtId="0" fontId="8" fillId="4" borderId="6" xfId="0" applyNumberFormat="1" applyFont="1" applyFill="1" applyBorder="1" applyAlignment="1">
      <x:alignment vertical="top"/>
    </x:xf>
    <x:xf numFmtId="0" fontId="8" fillId="4" borderId="1" xfId="0" applyNumberFormat="1" applyFont="1" applyFill="1" applyBorder="1" applyAlignment="1">
      <x:alignment vertical="top"/>
    </x:xf>
    <x:xf numFmtId="0" fontId="8" fillId="4" borderId="7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200" fontId="5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6" fillId="4" borderId="6" xfId="0" applyNumberFormat="1" applyFont="1" applyFill="1" applyBorder="1" applyAlignment="1">
      <x:alignment vertical="top" wrapText="1"/>
    </x:xf>
    <x:xf numFmtId="200" fontId="5" fillId="4" borderId="6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top" wrapText="1"/>
    </x:xf>
    <x:xf numFmtId="0" fontId="7" fillId="4" borderId="6" xfId="0" applyNumberFormat="1" applyFont="1" applyFill="1" applyBorder="1" applyAlignment="1">
      <x:alignment vertical="top" wrapText="1"/>
    </x:xf>
    <x:xf numFmtId="0" fontId="8" fillId="4" borderId="6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200" fontId="5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6" fillId="4" borderId="7" xfId="0" applyNumberFormat="1" applyFont="1" applyFill="1" applyBorder="1" applyAlignment="1">
      <x:alignment vertical="top" wrapText="1"/>
    </x:xf>
    <x:xf numFmtId="200" fontId="5" fillId="4" borderId="7" xfId="0" applyNumberFormat="1" applyFont="1" applyFill="1" applyBorder="1" applyAlignment="1">
      <x:alignment vertical="top" wrapText="1"/>
    </x:xf>
    <x:xf numFmtId="0" fontId="5" fillId="4" borderId="7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 wrapText="1"/>
    </x:xf>
    <x:xf numFmtId="0" fontId="7" fillId="4" borderId="7" xfId="0" applyNumberFormat="1" applyFont="1" applyFill="1" applyBorder="1" applyAlignment="1">
      <x:alignment vertical="top" wrapText="1"/>
    </x:xf>
    <x:xf numFmtId="0" fontId="8" fillId="4" borderId="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8" xfId="0" applyNumberFormat="1" applyFont="1" applyFill="1" applyBorder="1"/>
    <x:xf numFmtId="0" fontId="9" fillId="5" borderId="8" xfId="0" applyNumberFormat="1" applyFont="1" applyFill="1" applyBorder="1" applyAlignment="1">
      <x:alignment wrapText="1"/>
    </x:xf>
    <x:xf numFmtId="0" fontId="9" fillId="5" borderId="8" xfId="0" applyNumberFormat="1" applyFont="1" applyFill="1" applyBorder="1" applyAlignment="1">
      <x:alignment horizontal="center" wrapText="1"/>
    </x:xf>
    <x:xf numFmtId="0" fontId="9" fillId="5" borderId="8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9" fillId="5" borderId="1" xfId="0" applyNumberFormat="1" applyFont="1" applyFill="1" applyBorder="1"/>
    <x:xf numFmtId="0" fontId="9" fillId="5" borderId="9" xfId="0" applyNumberFormat="1" applyFont="1" applyFill="1" applyBorder="1"/>
    <x:xf numFmtId="0" fontId="9" fillId="5" borderId="9" xfId="0" applyNumberFormat="1" applyFont="1" applyFill="1" applyBorder="1" applyAlignment="1">
      <x:alignment wrapText="1"/>
    </x:xf>
    <x:xf numFmtId="0" fontId="9" fillId="5" borderId="9" xfId="0" applyNumberFormat="1" applyFont="1" applyFill="1" applyBorder="1" applyAlignment="1">
      <x:alignment horizontal="center" wrapText="1"/>
    </x:xf>
    <x:xf numFmtId="0" fontId="9" fillId="5" borderId="9" xfId="0" applyNumberFormat="1" applyFont="1" applyFill="1" applyBorder="1" applyAlignment="1">
      <x:alignment horizontal="center" vertical="center" wrapText="1"/>
    </x:xf>
    <x:xf numFmtId="201" fontId="5" fillId="4" borderId="2" xfId="0" applyNumberFormat="1" applyFont="1" applyFill="1" applyBorder="1" applyAlignment="1">
      <x:alignment vertical="top"/>
    </x:xf>
    <x:xf numFmtId="201" fontId="5" fillId="4" borderId="3" xfId="0" applyNumberFormat="1" applyFont="1" applyFill="1" applyBorder="1" applyAlignment="1">
      <x:alignment vertical="top"/>
    </x:xf>
    <x:xf numFmtId="201" fontId="5" fillId="4" borderId="4" xfId="0" applyNumberFormat="1" applyFont="1" applyFill="1" applyBorder="1" applyAlignment="1">
      <x:alignment vertical="top"/>
    </x:xf>
    <x:xf numFmtId="201" fontId="5" fillId="4" borderId="5" xfId="0" applyNumberFormat="1" applyFont="1" applyFill="1" applyBorder="1" applyAlignment="1">
      <x:alignment vertical="top"/>
    </x:xf>
    <x:xf numFmtId="201" fontId="5" fillId="4" borderId="2" xfId="0" applyNumberFormat="1" applyFont="1" applyFill="1" applyBorder="1" applyAlignment="1">
      <x:alignment vertical="top" wrapText="1"/>
    </x:xf>
    <x:xf numFmtId="201" fontId="5" fillId="4" borderId="3" xfId="0" applyNumberFormat="1" applyFont="1" applyFill="1" applyBorder="1" applyAlignment="1">
      <x:alignment vertical="top" wrapText="1"/>
    </x:xf>
    <x:xf numFmtId="201" fontId="5" fillId="4" borderId="4" xfId="0" applyNumberFormat="1" applyFont="1" applyFill="1" applyBorder="1" applyAlignment="1">
      <x:alignment vertical="top" wrapText="1"/>
    </x:xf>
    <x:xf numFmtId="201" fontId="5" fillId="4" borderId="5" xfId="0" applyNumberFormat="1" applyFont="1" applyFill="1" applyBorder="1" applyAlignment="1">
      <x:alignment vertical="top" wrapText="1"/>
    </x:xf>
    <x:xf numFmtId="201" fontId="5" fillId="4" borderId="0" xfId="0" applyNumberFormat="1" applyFont="1" applyFill="1" applyBorder="1" applyAlignment="1">
      <x:alignment vertical="top"/>
    </x:xf>
    <x:xf numFmtId="201" fontId="5" fillId="4" borderId="6" xfId="0" applyNumberFormat="1" applyFont="1" applyFill="1" applyBorder="1" applyAlignment="1">
      <x:alignment vertical="top"/>
    </x:xf>
    <x:xf numFmtId="201" fontId="5" fillId="4" borderId="1" xfId="0" applyNumberFormat="1" applyFont="1" applyFill="1" applyBorder="1" applyAlignment="1">
      <x:alignment vertical="top"/>
    </x:xf>
    <x:xf numFmtId="201" fontId="5" fillId="4" borderId="7" xfId="0" applyNumberFormat="1" applyFont="1" applyFill="1" applyBorder="1" applyAlignment="1">
      <x:alignment vertical="top"/>
    </x:xf>
    <x:xf numFmtId="202" fontId="5" fillId="4" borderId="0" xfId="0" applyNumberFormat="1" applyFont="1" applyFill="1" applyBorder="1" applyAlignment="1">
      <x:alignment vertical="top"/>
    </x:xf>
    <x:xf numFmtId="202" fontId="5" fillId="4" borderId="2" xfId="0" applyNumberFormat="1" applyFont="1" applyFill="1" applyBorder="1" applyAlignment="1">
      <x:alignment vertical="top"/>
    </x:xf>
    <x:xf numFmtId="202" fontId="5" fillId="4" borderId="6" xfId="0" applyNumberFormat="1" applyFont="1" applyFill="1" applyBorder="1" applyAlignment="1">
      <x:alignment vertical="top"/>
    </x:xf>
    <x:xf numFmtId="202" fontId="5" fillId="4" borderId="3" xfId="0" applyNumberFormat="1" applyFont="1" applyFill="1" applyBorder="1" applyAlignment="1">
      <x:alignment vertical="top"/>
    </x:xf>
    <x:xf numFmtId="202" fontId="5" fillId="4" borderId="1" xfId="0" applyNumberFormat="1" applyFont="1" applyFill="1" applyBorder="1" applyAlignment="1">
      <x:alignment vertical="top"/>
    </x:xf>
    <x:xf numFmtId="202" fontId="5" fillId="4" borderId="4" xfId="0" applyNumberFormat="1" applyFont="1" applyFill="1" applyBorder="1" applyAlignment="1">
      <x:alignment vertical="top"/>
    </x:xf>
    <x:xf numFmtId="202" fontId="5" fillId="4" borderId="7" xfId="0" applyNumberFormat="1" applyFont="1" applyFill="1" applyBorder="1" applyAlignment="1">
      <x:alignment vertical="top"/>
    </x:xf>
    <x:xf numFmtId="202" fontId="5" fillId="4" borderId="5" xfId="0" applyNumberFormat="1" applyFont="1" applyFill="1" applyBorder="1" applyAlignment="1">
      <x:alignment vertical="top"/>
    </x:xf>
    <x:xf numFmtId="201" fontId="5" fillId="4" borderId="0" xfId="0" applyNumberFormat="1" applyFont="1" applyFill="1" applyBorder="1" applyAlignment="1">
      <x:alignment vertical="top" wrapText="1"/>
    </x:xf>
    <x:xf numFmtId="202" fontId="5" fillId="4" borderId="0" xfId="0" applyNumberFormat="1" applyFont="1" applyFill="1" applyBorder="1" applyAlignment="1">
      <x:alignment vertical="top" wrapText="1"/>
    </x:xf>
    <x:xf numFmtId="202" fontId="5" fillId="4" borderId="2" xfId="0" applyNumberFormat="1" applyFont="1" applyFill="1" applyBorder="1" applyAlignment="1">
      <x:alignment vertical="top" wrapText="1"/>
    </x:xf>
    <x:xf numFmtId="201" fontId="5" fillId="4" borderId="6" xfId="0" applyNumberFormat="1" applyFont="1" applyFill="1" applyBorder="1" applyAlignment="1">
      <x:alignment vertical="top" wrapText="1"/>
    </x:xf>
    <x:xf numFmtId="202" fontId="5" fillId="4" borderId="6" xfId="0" applyNumberFormat="1" applyFont="1" applyFill="1" applyBorder="1" applyAlignment="1">
      <x:alignment vertical="top" wrapText="1"/>
    </x:xf>
    <x:xf numFmtId="202" fontId="5" fillId="4" borderId="3" xfId="0" applyNumberFormat="1" applyFont="1" applyFill="1" applyBorder="1" applyAlignment="1">
      <x:alignment vertical="top" wrapText="1"/>
    </x:xf>
    <x:xf numFmtId="201" fontId="5" fillId="4" borderId="1" xfId="0" applyNumberFormat="1" applyFont="1" applyFill="1" applyBorder="1" applyAlignment="1">
      <x:alignment vertical="top" wrapText="1"/>
    </x:xf>
    <x:xf numFmtId="202" fontId="5" fillId="4" borderId="1" xfId="0" applyNumberFormat="1" applyFont="1" applyFill="1" applyBorder="1" applyAlignment="1">
      <x:alignment vertical="top" wrapText="1"/>
    </x:xf>
    <x:xf numFmtId="202" fontId="5" fillId="4" borderId="4" xfId="0" applyNumberFormat="1" applyFont="1" applyFill="1" applyBorder="1" applyAlignment="1">
      <x:alignment vertical="top" wrapText="1"/>
    </x:xf>
    <x:xf numFmtId="201" fontId="5" fillId="4" borderId="7" xfId="0" applyNumberFormat="1" applyFont="1" applyFill="1" applyBorder="1" applyAlignment="1">
      <x:alignment vertical="top" wrapText="1"/>
    </x:xf>
    <x:xf numFmtId="202" fontId="5" fillId="4" borderId="7" xfId="0" applyNumberFormat="1" applyFont="1" applyFill="1" applyBorder="1" applyAlignment="1">
      <x:alignment vertical="top" wrapText="1"/>
    </x:xf>
    <x:xf numFmtId="202" fontId="5" fillId="4" borderId="5" xfId="0" applyNumberFormat="1" applyFont="1" applyFill="1" applyBorder="1" applyAlignment="1">
      <x:alignment vertical="top" wrapText="1"/>
    </x:xf>
    <x:xf numFmtId="0" fontId="8" fillId="4" borderId="2" xfId="0" applyNumberFormat="1" applyFont="1" applyFill="1" applyBorder="1" applyAlignment="1">
      <x:alignment vertical="top" wrapText="1"/>
    </x:xf>
    <x:xf numFmtId="0" fontId="8" fillId="4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top" wrapText="1"/>
    </x:xf>
    <x:xf numFmtId="0" fontId="8" fillId="4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20">
    <x:dxf>
      <x:font>
        <x:b/>
        <x:color rgb="FFF7EEE7"/>
      </x:font>
      <x:fill>
        <x:patternFill patternType="solid">
          <x:bgColor rgb="FF3B2B12"/>
        </x:patternFill>
      </x:fill>
    </x:dxf>
    <x:dxf>
      <x:font>
        <x:color rgb="FFF0B0AA"/>
      </x:font>
      <x:fill>
        <x:patternFill patternType="solid">
          <x:bgColor rgb="FF3E1715"/>
        </x:patternFill>
      </x:fill>
    </x:dxf>
    <x:dxf>
      <x:font>
        <x:b/>
        <x:color rgb="FFF7EEE7"/>
      </x:font>
      <x:fill>
        <x:patternFill patternType="solid">
          <x:bgColor rgb="FF3B2B12"/>
        </x:patternFill>
      </x:fill>
    </x:dxf>
    <x:dxf>
      <x:font>
        <x:color rgb="FFF0B0AA"/>
      </x:font>
      <x:fill>
        <x:patternFill patternType="solid">
          <x:bgColor rgb="FF3E1715"/>
        </x:patternFill>
      </x:fill>
    </x:dxf>
    <x:dxf>
      <x:font>
        <x:b/>
        <x:color rgb="FFF7EEE7"/>
      </x:font>
      <x:fill>
        <x:patternFill patternType="solid">
          <x:bgColor rgb="FF3B2B12"/>
        </x:patternFill>
      </x:fill>
    </x:dxf>
    <x:dxf>
      <x:font>
        <x:color rgb="FFF0B0AA"/>
      </x:font>
      <x:fill>
        <x:patternFill patternType="solid">
          <x:bgColor rgb="FF3E1715"/>
        </x:patternFill>
      </x:fill>
    </x:dxf>
    <x:dxf>
      <x:font>
        <x:b/>
        <x:color rgb="FFF7EEE7"/>
      </x:font>
      <x:fill>
        <x:patternFill patternType="solid">
          <x:bgColor rgb="FF3B2B12"/>
        </x:patternFill>
      </x:fill>
    </x:dxf>
    <x:dxf>
      <x:font>
        <x:color rgb="FFF0B0AA"/>
      </x:font>
      <x:fill>
        <x:patternFill patternType="solid">
          <x:bgColor rgb="FF3E1715"/>
        </x:patternFill>
      </x:fill>
    </x:dxf>
    <x:dxf>
      <x:font>
        <x:b/>
        <x:color rgb="FFF7EEE7"/>
      </x:font>
      <x:fill>
        <x:patternFill patternType="solid">
          <x:bgColor rgb="FF3B2B12"/>
        </x:patternFill>
      </x:fill>
    </x:dxf>
    <x:dxf>
      <x:font>
        <x:color rgb="FFF0B0AA"/>
      </x:font>
      <x:fill>
        <x:patternFill patternType="solid">
          <x:bgColor rgb="FF3E1715"/>
        </x:patternFill>
      </x:fill>
    </x:dxf>
    <x:dxf>
      <x:font>
        <x:b/>
        <x:color rgb="FFF7EEE7"/>
      </x:font>
      <x:fill>
        <x:patternFill patternType="solid">
          <x:bgColor rgb="FF3B2B12"/>
        </x:patternFill>
      </x:fill>
    </x:dxf>
    <x:dxf>
      <x:font>
        <x:color rgb="FFF0B0AA"/>
      </x:font>
      <x:fill>
        <x:patternFill patternType="solid">
          <x:bgColor rgb="FF3E1715"/>
        </x:patternFill>
      </x:fill>
    </x:dxf>
    <x:dxf>
      <x:font>
        <x:b/>
        <x:color rgb="FFF7EEE7"/>
      </x:font>
      <x:fill>
        <x:patternFill patternType="solid">
          <x:bgColor rgb="FF3B2B12"/>
        </x:patternFill>
      </x:fill>
    </x:dxf>
    <x:dxf>
      <x:font>
        <x:color rgb="FFF0B0AA"/>
      </x:font>
      <x:fill>
        <x:patternFill patternType="solid">
          <x:bgColor rgb="FF3E1715"/>
        </x:patternFill>
      </x:fill>
    </x:dxf>
    <x:dxf>
      <x:font>
        <x:b/>
        <x:color rgb="FFF7EEE7"/>
      </x:font>
      <x:fill>
        <x:patternFill patternType="solid">
          <x:bgColor rgb="FF3B2B12"/>
        </x:patternFill>
      </x:fill>
    </x:dxf>
    <x:dxf>
      <x:font>
        <x:color rgb="FFF0B0AA"/>
      </x:font>
      <x:fill>
        <x:patternFill patternType="solid">
          <x:bgColor rgb="FF3E1715"/>
        </x:patternFill>
      </x:fill>
    </x:dxf>
    <x:dxf>
      <x:font>
        <x:b/>
        <x:color rgb="FFF7EEE7"/>
      </x:font>
      <x:fill>
        <x:patternFill patternType="solid">
          <x:bgColor rgb="FF3B2B12"/>
        </x:patternFill>
      </x:fill>
    </x:dxf>
    <x:dxf>
      <x:font>
        <x:color rgb="FFF0B0AA"/>
      </x:font>
      <x:fill>
        <x:patternFill patternType="solid">
          <x:bgColor rgb="FF3E1715"/>
        </x:patternFill>
      </x:fill>
    </x:dxf>
    <x:dxf>
      <x:font>
        <x:b/>
        <x:color rgb="FFF7EEE7"/>
      </x:font>
      <x:fill>
        <x:patternFill patternType="solid">
          <x:bgColor rgb="FF3B2B12"/>
        </x:patternFill>
      </x:fill>
    </x:dxf>
    <x:dxf>
      <x:font>
        <x:color rgb="FFF0B0AA"/>
      </x:font>
      <x:fill>
        <x:patternFill patternType="solid">
          <x:bgColor rgb="FF3E171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3dac123cd145d6" /><Relationship Type="http://schemas.openxmlformats.org/officeDocument/2006/relationships/theme" Target="/xl/theme/theme1.xml" Id="R87fb7b5f0a594e5c" /><Relationship Type="http://schemas.openxmlformats.org/officeDocument/2006/relationships/sharedStrings" Target="/xl/sharedStrings.xml" Id="R8811eba997254b60" /><Relationship Type="http://schemas.openxmlformats.org/officeDocument/2006/relationships/worksheet" Target="/xl/worksheets/sheet1.xml" Id="R8ac3e9b08e044e76" /><Relationship Type="http://schemas.openxmlformats.org/officeDocument/2006/relationships/worksheet" Target="/xl/worksheets/sheet2.xml" Id="R17afdeef52204e3e" /><Relationship Type="http://schemas.openxmlformats.org/officeDocument/2006/relationships/worksheet" Target="/xl/worksheets/sheet3.xml" Id="Rea3fddebefcc4ba7" /><Relationship Type="http://schemas.openxmlformats.org/officeDocument/2006/relationships/worksheet" Target="/xl/worksheets/sheet4.xml" Id="Refb2d95f61a240e8" /><Relationship Type="http://schemas.openxmlformats.org/officeDocument/2006/relationships/worksheet" Target="/xl/worksheets/sheet5.xml" Id="R55cd2ee9001248f8" /><Relationship Type="http://schemas.openxmlformats.org/officeDocument/2006/relationships/worksheet" Target="/xl/worksheets/sheet6.xml" Id="Rfd437c774dd44e6f" /><Relationship Type="http://schemas.openxmlformats.org/officeDocument/2006/relationships/worksheet" Target="/xl/worksheets/sheet7.xml" Id="Re9388bd559b54dcd" /><Relationship Type="http://schemas.openxmlformats.org/officeDocument/2006/relationships/worksheet" Target="/xl/worksheets/sheet8.xml" Id="Ra668413ff54d49b2" /><Relationship Type="http://schemas.openxmlformats.org/officeDocument/2006/relationships/worksheet" Target="/xl/worksheets/sheet9.xml" Id="Re647c36b8d904f32" /><Relationship Type="http://schemas.openxmlformats.org/officeDocument/2006/relationships/worksheet" Target="/xl/worksheets/sheet10.xml" Id="R85e4d27fbc7e4394" /><Relationship Type="http://schemas.openxmlformats.org/officeDocument/2006/relationships/worksheet" Target="/xl/worksheets/sheet11.xml" Id="R8dac248d4ca64fb0" /><Relationship Type="http://schemas.openxmlformats.org/officeDocument/2006/relationships/worksheet" Target="/xl/worksheets/sheet12.xml" Id="R5af33ab5c36f40ef" /><Relationship Type="http://schemas.openxmlformats.org/officeDocument/2006/relationships/worksheet" Target="/xl/worksheets/sheet13.xml" Id="R43c0b1d11bba4e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57bf866686471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Score líder</c:v>
          </c:tx>
          <c:cat>
            <c:strRef>
              <c:f>'Resumo'!$A$5:$A$14</c:f>
              <c:strCache>
                <c:ptCount val="0"/>
              </c:strCache>
            </c:strRef>
          </c:cat>
          <c:val>
            <c:numRef>
              <c:f>'Resumo'!$H$5:$H$14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57bf866686471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umoClansTable" displayName="ResumoClansTable" ref="A4:H14" headerRowCount="1">
  <x:tableColumns count="8">
    <x:tableColumn id="1" name="Clã"/>
    <x:tableColumn id="2" name="Elementos"/>
    <x:tableColumn id="3" name="Elegíveis"/>
    <x:tableColumn id="4" name="Utilizáveis"/>
    <x:tableColumn id="5" name="Excluídos"/>
    <x:tableColumn id="6" name="Líder"/>
    <x:tableColumn id="7" name="Melhor time de 6"/>
    <x:tableColumn id="8" name="Score líder"/>
  </x:tableColumns>
  <x:tableStyleInfo name="TableStyleMedium2" showRowStripes="1"/>
</x:table>
</file>

<file path=xl/tables/table2.xml><?xml version="1.0" encoding="utf-8"?>
<x:table xmlns:x="http://schemas.openxmlformats.org/spreadsheetml/2006/main" id="2" name="Auditoria251Table" displayName="Auditoria251Table" ref="A4:V255" headerRowCount="1">
  <x:tableColumns count="22">
    <x:tableColumn id="1" name="#"/>
    <x:tableColumn id="2" name="Pokémon"/>
    <x:tableColumn id="3" name="Tipos"/>
    <x:tableColumn id="4" name="Clãs"/>
    <x:tableColumn id="5" name="Qtd. clãs"/>
    <x:tableColumn id="6" name="Tier"/>
    <x:tableColumn id="7" name="Score"/>
    <x:tableColumn id="8" name="Rank global"/>
    <x:tableColumn id="9" name="BST"/>
    <x:tableColumn id="10" name="HP"/>
    <x:tableColumn id="11" name="ATK"/>
    <x:tableColumn id="12" name="DEF"/>
    <x:tableColumn id="13" name="Sp. ATK"/>
    <x:tableColumn id="14" name="Sp. DEF"/>
    <x:tableColumn id="15" name="Speed"/>
    <x:tableColumn id="16" name="Hunt Kanto"/>
    <x:tableColumn id="17" name="Lendário/mítico"/>
    <x:tableColumn id="18" name="Status"/>
    <x:tableColumn id="19" name="Fonte"/>
    <x:tableColumn id="20" name="Teto ofensivo R5"/>
    <x:tableColumn id="21" name="Ofensiva secundária R5"/>
    <x:tableColumn id="22" name="Robustez R5"/>
  </x:tableColumns>
  <x:tableStyleInfo name="TableStyleMedium2" showRowStripes="1"/>
</x:table>
</file>

<file path=xl/tables/table3.xml><?xml version="1.0" encoding="utf-8"?>
<x:table xmlns:x="http://schemas.openxmlformats.org/spreadsheetml/2006/main" id="3" name="VolcanicRankingTable" displayName="VolcanicRankingTable" ref="A4:Y26" headerRowCount="1">
  <x:tableColumns count="25">
    <x:tableColumn id="1" name="Posição"/>
    <x:tableColumn id="2" name="Rank teórico"/>
    <x:tableColumn id="3" name="Tier"/>
    <x:tableColumn id="4" name="Time 6"/>
    <x:tableColumn id="5" name="#"/>
    <x:tableColumn id="6" name="Pokémon"/>
    <x:tableColumn id="7" name="Tipos"/>
    <x:tableColumn id="8" name="Perfil"/>
    <x:tableColumn id="9" name="Score"/>
    <x:tableColumn id="10" name="BST"/>
    <x:tableColumn id="11" name="HP"/>
    <x:tableColumn id="12" name="ATK"/>
    <x:tableColumn id="13" name="DEF"/>
    <x:tableColumn id="14" name="Sp. ATK"/>
    <x:tableColumn id="15" name="Sp. DEF"/>
    <x:tableColumn id="16" name="Speed"/>
    <x:tableColumn id="17" name="Teto ofensivo R5"/>
    <x:tableColumn id="18" name="Ofensiva secundária R5"/>
    <x:tableColumn id="19" name="Robustez R5"/>
    <x:tableColumn id="20" name="Hunt Kanto"/>
    <x:tableColumn id="21" name="Status"/>
    <x:tableColumn id="22" name="Leitura técnica"/>
    <x:tableColumn id="23" name="Por que abaixo do anterior"/>
    <x:tableColumn id="24" name="Por que acima do seguinte"/>
    <x:tableColumn id="25" name="Fonte"/>
  </x:tableColumns>
  <x:tableStyleInfo name="TableStyleMedium2" showRowStripes="1"/>
</x:table>
</file>

<file path=xl/tables/table4.xml><?xml version="1.0" encoding="utf-8"?>
<x:table xmlns:x="http://schemas.openxmlformats.org/spreadsheetml/2006/main" id="4" name="RaiboltRankingTable" displayName="RaiboltRankingTable" ref="A4:Y21" headerRowCount="1">
  <x:tableColumns count="25">
    <x:tableColumn id="1" name="Posição"/>
    <x:tableColumn id="2" name="Rank teórico"/>
    <x:tableColumn id="3" name="Tier"/>
    <x:tableColumn id="4" name="Time 6"/>
    <x:tableColumn id="5" name="#"/>
    <x:tableColumn id="6" name="Pokémon"/>
    <x:tableColumn id="7" name="Tipos"/>
    <x:tableColumn id="8" name="Perfil"/>
    <x:tableColumn id="9" name="Score"/>
    <x:tableColumn id="10" name="BST"/>
    <x:tableColumn id="11" name="HP"/>
    <x:tableColumn id="12" name="ATK"/>
    <x:tableColumn id="13" name="DEF"/>
    <x:tableColumn id="14" name="Sp. ATK"/>
    <x:tableColumn id="15" name="Sp. DEF"/>
    <x:tableColumn id="16" name="Speed"/>
    <x:tableColumn id="17" name="Teto ofensivo R5"/>
    <x:tableColumn id="18" name="Ofensiva secundária R5"/>
    <x:tableColumn id="19" name="Robustez R5"/>
    <x:tableColumn id="20" name="Hunt Kanto"/>
    <x:tableColumn id="21" name="Status"/>
    <x:tableColumn id="22" name="Leitura técnica"/>
    <x:tableColumn id="23" name="Por que abaixo do anterior"/>
    <x:tableColumn id="24" name="Por que acima do seguinte"/>
    <x:tableColumn id="25" name="Fonte"/>
  </x:tableColumns>
  <x:tableStyleInfo name="TableStyleMedium2" showRowStripes="1"/>
</x:table>
</file>

<file path=xl/tables/table5.xml><?xml version="1.0" encoding="utf-8"?>
<x:table xmlns:x="http://schemas.openxmlformats.org/spreadsheetml/2006/main" id="5" name="OreboundRankingTable" displayName="OreboundRankingTable" ref="A4:Y38" headerRowCount="1">
  <x:tableColumns count="25">
    <x:tableColumn id="1" name="Posição"/>
    <x:tableColumn id="2" name="Rank teórico"/>
    <x:tableColumn id="3" name="Tier"/>
    <x:tableColumn id="4" name="Time 6"/>
    <x:tableColumn id="5" name="#"/>
    <x:tableColumn id="6" name="Pokémon"/>
    <x:tableColumn id="7" name="Tipos"/>
    <x:tableColumn id="8" name="Perfil"/>
    <x:tableColumn id="9" name="Score"/>
    <x:tableColumn id="10" name="BST"/>
    <x:tableColumn id="11" name="HP"/>
    <x:tableColumn id="12" name="ATK"/>
    <x:tableColumn id="13" name="DEF"/>
    <x:tableColumn id="14" name="Sp. ATK"/>
    <x:tableColumn id="15" name="Sp. DEF"/>
    <x:tableColumn id="16" name="Speed"/>
    <x:tableColumn id="17" name="Teto ofensivo R5"/>
    <x:tableColumn id="18" name="Ofensiva secundária R5"/>
    <x:tableColumn id="19" name="Robustez R5"/>
    <x:tableColumn id="20" name="Hunt Kanto"/>
    <x:tableColumn id="21" name="Status"/>
    <x:tableColumn id="22" name="Leitura técnica"/>
    <x:tableColumn id="23" name="Por que abaixo do anterior"/>
    <x:tableColumn id="24" name="Por que acima do seguinte"/>
    <x:tableColumn id="25" name="Fonte"/>
  </x:tableColumns>
  <x:tableStyleInfo name="TableStyleMedium2" showRowStripes="1"/>
</x:table>
</file>

<file path=xl/tables/table6.xml><?xml version="1.0" encoding="utf-8"?>
<x:table xmlns:x="http://schemas.openxmlformats.org/spreadsheetml/2006/main" id="6" name="NaturiaRankingTable" displayName="NaturiaRankingTable" ref="A4:Y48" headerRowCount="1">
  <x:tableColumns count="25">
    <x:tableColumn id="1" name="Posição"/>
    <x:tableColumn id="2" name="Rank teórico"/>
    <x:tableColumn id="3" name="Tier"/>
    <x:tableColumn id="4" name="Time 6"/>
    <x:tableColumn id="5" name="#"/>
    <x:tableColumn id="6" name="Pokémon"/>
    <x:tableColumn id="7" name="Tipos"/>
    <x:tableColumn id="8" name="Perfil"/>
    <x:tableColumn id="9" name="Score"/>
    <x:tableColumn id="10" name="BST"/>
    <x:tableColumn id="11" name="HP"/>
    <x:tableColumn id="12" name="ATK"/>
    <x:tableColumn id="13" name="DEF"/>
    <x:tableColumn id="14" name="Sp. ATK"/>
    <x:tableColumn id="15" name="Sp. DEF"/>
    <x:tableColumn id="16" name="Speed"/>
    <x:tableColumn id="17" name="Teto ofensivo R5"/>
    <x:tableColumn id="18" name="Ofensiva secundária R5"/>
    <x:tableColumn id="19" name="Robustez R5"/>
    <x:tableColumn id="20" name="Hunt Kanto"/>
    <x:tableColumn id="21" name="Status"/>
    <x:tableColumn id="22" name="Leitura técnica"/>
    <x:tableColumn id="23" name="Por que abaixo do anterior"/>
    <x:tableColumn id="24" name="Por que acima do seguinte"/>
    <x:tableColumn id="25" name="Fonte"/>
  </x:tableColumns>
  <x:tableStyleInfo name="TableStyleMedium2" showRowStripes="1"/>
</x:table>
</file>

<file path=xl/tables/table7.xml><?xml version="1.0" encoding="utf-8"?>
<x:table xmlns:x="http://schemas.openxmlformats.org/spreadsheetml/2006/main" id="7" name="GardestrikeRankingTable" displayName="GardestrikeRankingTable" ref="A4:Y52" headerRowCount="1">
  <x:tableColumns count="25">
    <x:tableColumn id="1" name="Posição"/>
    <x:tableColumn id="2" name="Rank teórico"/>
    <x:tableColumn id="3" name="Tier"/>
    <x:tableColumn id="4" name="Time 6"/>
    <x:tableColumn id="5" name="#"/>
    <x:tableColumn id="6" name="Pokémon"/>
    <x:tableColumn id="7" name="Tipos"/>
    <x:tableColumn id="8" name="Perfil"/>
    <x:tableColumn id="9" name="Score"/>
    <x:tableColumn id="10" name="BST"/>
    <x:tableColumn id="11" name="HP"/>
    <x:tableColumn id="12" name="ATK"/>
    <x:tableColumn id="13" name="DEF"/>
    <x:tableColumn id="14" name="Sp. ATK"/>
    <x:tableColumn id="15" name="Sp. DEF"/>
    <x:tableColumn id="16" name="Speed"/>
    <x:tableColumn id="17" name="Teto ofensivo R5"/>
    <x:tableColumn id="18" name="Ofensiva secundária R5"/>
    <x:tableColumn id="19" name="Robustez R5"/>
    <x:tableColumn id="20" name="Hunt Kanto"/>
    <x:tableColumn id="21" name="Status"/>
    <x:tableColumn id="22" name="Leitura técnica"/>
    <x:tableColumn id="23" name="Por que abaixo do anterior"/>
    <x:tableColumn id="24" name="Por que acima do seguinte"/>
    <x:tableColumn id="25" name="Fonte"/>
  </x:tableColumns>
  <x:tableStyleInfo name="TableStyleMedium2" showRowStripes="1"/>
</x:table>
</file>

<file path=xl/tables/table8.xml><?xml version="1.0" encoding="utf-8"?>
<x:table xmlns:x="http://schemas.openxmlformats.org/spreadsheetml/2006/main" id="8" name="IronhardRankingTable" displayName="IronhardRankingTable" ref="A4:Y10" headerRowCount="1">
  <x:tableColumns count="25">
    <x:tableColumn id="1" name="Posição"/>
    <x:tableColumn id="2" name="Rank teórico"/>
    <x:tableColumn id="3" name="Tier"/>
    <x:tableColumn id="4" name="Time 6"/>
    <x:tableColumn id="5" name="#"/>
    <x:tableColumn id="6" name="Pokémon"/>
    <x:tableColumn id="7" name="Tipos"/>
    <x:tableColumn id="8" name="Perfil"/>
    <x:tableColumn id="9" name="Score"/>
    <x:tableColumn id="10" name="BST"/>
    <x:tableColumn id="11" name="HP"/>
    <x:tableColumn id="12" name="ATK"/>
    <x:tableColumn id="13" name="DEF"/>
    <x:tableColumn id="14" name="Sp. ATK"/>
    <x:tableColumn id="15" name="Sp. DEF"/>
    <x:tableColumn id="16" name="Speed"/>
    <x:tableColumn id="17" name="Teto ofensivo R5"/>
    <x:tableColumn id="18" name="Ofensiva secundária R5"/>
    <x:tableColumn id="19" name="Robustez R5"/>
    <x:tableColumn id="20" name="Hunt Kanto"/>
    <x:tableColumn id="21" name="Status"/>
    <x:tableColumn id="22" name="Leitura técnica"/>
    <x:tableColumn id="23" name="Por que abaixo do anterior"/>
    <x:tableColumn id="24" name="Por que acima do seguinte"/>
    <x:tableColumn id="25" name="Fonte"/>
  </x:tableColumns>
  <x:tableStyleInfo name="TableStyleMedium2" showRowStripes="1"/>
</x:table>
</file>

<file path=xl/tables/table9.xml><?xml version="1.0" encoding="utf-8"?>
<x:table xmlns:x="http://schemas.openxmlformats.org/spreadsheetml/2006/main" id="9" name="WingeonRankingTable" displayName="WingeonRankingTable" ref="A4:Y45" headerRowCount="1">
  <x:tableColumns count="25">
    <x:tableColumn id="1" name="Posição"/>
    <x:tableColumn id="2" name="Rank teórico"/>
    <x:tableColumn id="3" name="Tier"/>
    <x:tableColumn id="4" name="Time 6"/>
    <x:tableColumn id="5" name="#"/>
    <x:tableColumn id="6" name="Pokémon"/>
    <x:tableColumn id="7" name="Tipos"/>
    <x:tableColumn id="8" name="Perfil"/>
    <x:tableColumn id="9" name="Score"/>
    <x:tableColumn id="10" name="BST"/>
    <x:tableColumn id="11" name="HP"/>
    <x:tableColumn id="12" name="ATK"/>
    <x:tableColumn id="13" name="DEF"/>
    <x:tableColumn id="14" name="Sp. ATK"/>
    <x:tableColumn id="15" name="Sp. DEF"/>
    <x:tableColumn id="16" name="Speed"/>
    <x:tableColumn id="17" name="Teto ofensivo R5"/>
    <x:tableColumn id="18" name="Ofensiva secundária R5"/>
    <x:tableColumn id="19" name="Robustez R5"/>
    <x:tableColumn id="20" name="Hunt Kanto"/>
    <x:tableColumn id="21" name="Status"/>
    <x:tableColumn id="22" name="Leitura técnica"/>
    <x:tableColumn id="23" name="Por que abaixo do anterior"/>
    <x:tableColumn id="24" name="Por que acima do seguinte"/>
    <x:tableColumn id="25" name="Fonte"/>
  </x:tableColumns>
  <x:tableStyleInfo name="TableStyleMedium2" showRowStripes="1"/>
</x:table>
</file>

<file path=xl/tables/table10.xml><?xml version="1.0" encoding="utf-8"?>
<x:table xmlns:x="http://schemas.openxmlformats.org/spreadsheetml/2006/main" id="10" name="PsycraftRankingTable" displayName="PsycraftRankingTable" ref="A4:Y40" headerRowCount="1">
  <x:tableColumns count="25">
    <x:tableColumn id="1" name="Posição"/>
    <x:tableColumn id="2" name="Rank teórico"/>
    <x:tableColumn id="3" name="Tier"/>
    <x:tableColumn id="4" name="Time 6"/>
    <x:tableColumn id="5" name="#"/>
    <x:tableColumn id="6" name="Pokémon"/>
    <x:tableColumn id="7" name="Tipos"/>
    <x:tableColumn id="8" name="Perfil"/>
    <x:tableColumn id="9" name="Score"/>
    <x:tableColumn id="10" name="BST"/>
    <x:tableColumn id="11" name="HP"/>
    <x:tableColumn id="12" name="ATK"/>
    <x:tableColumn id="13" name="DEF"/>
    <x:tableColumn id="14" name="Sp. ATK"/>
    <x:tableColumn id="15" name="Sp. DEF"/>
    <x:tableColumn id="16" name="Speed"/>
    <x:tableColumn id="17" name="Teto ofensivo R5"/>
    <x:tableColumn id="18" name="Ofensiva secundária R5"/>
    <x:tableColumn id="19" name="Robustez R5"/>
    <x:tableColumn id="20" name="Hunt Kanto"/>
    <x:tableColumn id="21" name="Status"/>
    <x:tableColumn id="22" name="Leitura técnica"/>
    <x:tableColumn id="23" name="Por que abaixo do anterior"/>
    <x:tableColumn id="24" name="Por que acima do seguinte"/>
    <x:tableColumn id="25" name="Fonte"/>
  </x:tableColumns>
  <x:tableStyleInfo name="TableStyleMedium2" showRowStripes="1"/>
</x:table>
</file>

<file path=xl/tables/table11.xml><?xml version="1.0" encoding="utf-8"?>
<x:table xmlns:x="http://schemas.openxmlformats.org/spreadsheetml/2006/main" id="11" name="SeavellRankingTable" displayName="SeavellRankingTable" ref="A4:Y61" headerRowCount="1">
  <x:tableColumns count="25">
    <x:tableColumn id="1" name="Posição"/>
    <x:tableColumn id="2" name="Rank teórico"/>
    <x:tableColumn id="3" name="Tier"/>
    <x:tableColumn id="4" name="Time 6"/>
    <x:tableColumn id="5" name="#"/>
    <x:tableColumn id="6" name="Pokémon"/>
    <x:tableColumn id="7" name="Tipos"/>
    <x:tableColumn id="8" name="Perfil"/>
    <x:tableColumn id="9" name="Score"/>
    <x:tableColumn id="10" name="BST"/>
    <x:tableColumn id="11" name="HP"/>
    <x:tableColumn id="12" name="ATK"/>
    <x:tableColumn id="13" name="DEF"/>
    <x:tableColumn id="14" name="Sp. ATK"/>
    <x:tableColumn id="15" name="Sp. DEF"/>
    <x:tableColumn id="16" name="Speed"/>
    <x:tableColumn id="17" name="Teto ofensivo R5"/>
    <x:tableColumn id="18" name="Ofensiva secundária R5"/>
    <x:tableColumn id="19" name="Robustez R5"/>
    <x:tableColumn id="20" name="Hunt Kanto"/>
    <x:tableColumn id="21" name="Status"/>
    <x:tableColumn id="22" name="Leitura técnica"/>
    <x:tableColumn id="23" name="Por que abaixo do anterior"/>
    <x:tableColumn id="24" name="Por que acima do seguinte"/>
    <x:tableColumn id="25" name="Fonte"/>
  </x:tableColumns>
  <x:tableStyleInfo name="TableStyleMedium2" showRowStripes="1"/>
</x:table>
</file>

<file path=xl/tables/table12.xml><?xml version="1.0" encoding="utf-8"?>
<x:table xmlns:x="http://schemas.openxmlformats.org/spreadsheetml/2006/main" id="12" name="MaleficRankingTable" displayName="MaleficRankingTable" ref="A4:Y48" headerRowCount="1">
  <x:tableColumns count="25">
    <x:tableColumn id="1" name="Posição"/>
    <x:tableColumn id="2" name="Rank teórico"/>
    <x:tableColumn id="3" name="Tier"/>
    <x:tableColumn id="4" name="Time 6"/>
    <x:tableColumn id="5" name="#"/>
    <x:tableColumn id="6" name="Pokémon"/>
    <x:tableColumn id="7" name="Tipos"/>
    <x:tableColumn id="8" name="Perfil"/>
    <x:tableColumn id="9" name="Score"/>
    <x:tableColumn id="10" name="BST"/>
    <x:tableColumn id="11" name="HP"/>
    <x:tableColumn id="12" name="ATK"/>
    <x:tableColumn id="13" name="DEF"/>
    <x:tableColumn id="14" name="Sp. ATK"/>
    <x:tableColumn id="15" name="Sp. DEF"/>
    <x:tableColumn id="16" name="Speed"/>
    <x:tableColumn id="17" name="Teto ofensivo R5"/>
    <x:tableColumn id="18" name="Ofensiva secundária R5"/>
    <x:tableColumn id="19" name="Robustez R5"/>
    <x:tableColumn id="20" name="Hunt Kanto"/>
    <x:tableColumn id="21" name="Status"/>
    <x:tableColumn id="22" name="Leitura técnica"/>
    <x:tableColumn id="23" name="Por que abaixo do anterior"/>
    <x:tableColumn id="24" name="Por que acima do seguinte"/>
    <x:tableColumn id="25" name="Fo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e0f19c2ef08482f" /><Relationship Type="http://schemas.openxmlformats.org/officeDocument/2006/relationships/table" Target="/xl/tables/table1.xml" Id="R592603990a6646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424663a26946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e8bd5e2a4a49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e7683c681245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c0a0688e8c45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09fdb2f1454a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db829eb1c34e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2cfaa91483448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6df28500b1d4f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d352fac66844a3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4387eb016d94e3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6b018d9337c4ac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5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74" t="str">
        <x:v>Ranking técnico do PokeIdle por clã</x:v>
      </x:c>
      <x:c r="B1" s="74"/>
      <x:c r="C1" s="74"/>
      <x:c r="D1" s="74"/>
      <x:c r="E1" s="74"/>
      <x:c r="F1" s="74"/>
      <x:c r="G1" s="74"/>
      <x:c r="H1" s="74"/>
    </x:row>
    <x:row r="2" ht="24" customHeight="1">
      <x:c r="A2" s="75" t="str">
        <x:v>Modelo v1 orientado a dano em hunts · pesquisa e estrutura consolidadas em 20/07/2026</x:v>
      </x:c>
      <x:c r="B2" s="75"/>
      <x:c r="C2" s="75"/>
      <x:c r="D2" s="75"/>
      <x:c r="E2" s="75"/>
      <x:c r="F2" s="75"/>
      <x:c r="G2" s="75"/>
      <x:c r="H2" s="75"/>
    </x:row>
    <x:row r="3">
      <x:c r="A3" s="76"/>
      <x:c r="B3" s="76"/>
      <x:c r="C3" s="76"/>
      <x:c r="D3" s="76"/>
      <x:c r="E3" s="76"/>
      <x:c r="F3" s="76"/>
      <x:c r="G3" s="76"/>
      <x:c r="H3" s="76"/>
    </x:row>
    <x:row r="4">
      <x:c r="A4" s="77" t="str">
        <x:v>Premissas do ranking</x:v>
      </x:c>
      <x:c r="B4" s="77"/>
      <x:c r="C4" s="77"/>
      <x:c r="D4" s="77"/>
      <x:c r="E4" s="77"/>
      <x:c r="F4" s="77"/>
      <x:c r="G4" s="77"/>
      <x:c r="H4" s="77"/>
    </x:row>
    <x:row r="5">
      <x:c r="A5" s="78" t="str">
        <x:v>Comparação justa</x:v>
      </x:c>
      <x:c r="B5" s="38" t="str">
        <x:v>Todos os Pokémon são comparados no mesmo nível, Quality e IV. Assim, o que muda é a espécie e sua distribuição de stats.</x:v>
      </x:c>
      <x:c r="C5" s="76"/>
      <x:c r="D5" s="76"/>
      <x:c r="E5" s="76"/>
      <x:c r="F5" s="76"/>
      <x:c r="G5" s="76"/>
      <x:c r="H5" s="76"/>
    </x:row>
    <x:row r="6">
      <x:c r="A6" s="78" t="str">
        <x:v>Objetivo principal</x:v>
      </x:c>
      <x:c r="B6" s="38" t="str">
        <x:v>Priorizar dano sustentado em hunt idle, mantendo uma parcela menor para sobrevivência e velocidade.</x:v>
      </x:c>
      <x:c r="C6" s="76"/>
      <x:c r="D6" s="76"/>
      <x:c r="E6" s="76"/>
      <x:c r="F6" s="76"/>
      <x:c r="G6" s="76"/>
      <x:c r="H6" s="76"/>
    </x:row>
    <x:row r="7">
      <x:c r="A7" s="78" t="str">
        <x:v>Bônus de clã</x:v>
      </x:c>
      <x:c r="B7" s="38" t="str">
        <x:v>Rank 5 aplica +30% em ATK, Sp. ATK, DEF e Sp. DEF. HP e Speed não recebem o bônus.</x:v>
      </x:c>
      <x:c r="C7" s="76"/>
      <x:c r="D7" s="76"/>
      <x:c r="E7" s="76"/>
      <x:c r="F7" s="76"/>
      <x:c r="G7" s="76"/>
      <x:c r="H7" s="76"/>
    </x:row>
    <x:row r="8">
      <x:c r="A8" s="78" t="str">
        <x:v>Elegibilidade</x:v>
      </x:c>
      <x:c r="B8" s="38" t="str">
        <x:v>Um Pokémon entra em todo clã que contemple pelo menos um de seus tipos. Espécies de dois tipos podem aparecer em dois clãs.</x:v>
      </x:c>
      <x:c r="C8" s="76"/>
      <x:c r="D8" s="76"/>
      <x:c r="E8" s="76"/>
      <x:c r="F8" s="76"/>
      <x:c r="G8" s="76"/>
      <x:c r="H8" s="76"/>
    </x:row>
    <x:row r="9">
      <x:c r="A9" s="78" t="str">
        <x:v>Lendários/míticos</x:v>
      </x:c>
      <x:c r="B9" s="38" t="str">
        <x:v>Articuno, Zapdos, Moltres, Mewtwo, Mew, Raikou, Entei, Suicune, Lugia, Ho-Oh e Celebi foram mantidos na auditoria, mas excluídos do ranking utilizável.</x:v>
      </x:c>
      <x:c r="C9" s="76"/>
      <x:c r="D9" s="76"/>
      <x:c r="E9" s="76"/>
      <x:c r="F9" s="76"/>
      <x:c r="G9" s="76"/>
      <x:c r="H9" s="76"/>
    </x:row>
    <x:row r="10">
      <x:c r="A10" s="78" t="str">
        <x:v>Hunts</x:v>
      </x:c>
      <x:c r="B10" s="38" t="str">
        <x:v>A coluna Hunt própria Kanto marca as 194 espécies listadas como encontros no mapa. Ausência de hunt própria não significa automaticamente que a espécie seja impossível: ela pode depender de evolução, breeding ou outro sistema.</x:v>
      </x:c>
      <x:c r="C10" s="76"/>
      <x:c r="D10" s="76"/>
      <x:c r="E10" s="76"/>
      <x:c r="F10" s="76"/>
      <x:c r="G10" s="76"/>
      <x:c r="H10" s="76"/>
    </x:row>
    <x:row r="11">
      <x:c r="A11" s="78" t="str">
        <x:v>Limitação principal</x:v>
      </x:c>
      <x:c r="B11" s="38" t="str">
        <x:v>O catálogo público confirma golpes e learnsets, mas o score desta versão não inclui poder, cooldown, precisão e efeitos de cada golpe. Esses dados podem alterar posições próximas.</x:v>
      </x:c>
      <x:c r="C11" s="76"/>
      <x:c r="D11" s="76"/>
      <x:c r="E11" s="76"/>
      <x:c r="F11" s="76"/>
      <x:c r="G11" s="76"/>
      <x:c r="H11" s="76"/>
    </x:row>
    <x:row r="12">
      <x:c r="A12" s="79" t="str">
        <x:v>Interpretação</x:v>
      </x:c>
      <x:c r="B12" s="38" t="str">
        <x:v>O ranking é de potencial da espécie em condições iguais. Um Pokémon com Quality/IV/nível muito superior pode superar uma espécie mais bem posicionada.</x:v>
      </x:c>
      <x:c r="C12" s="76"/>
      <x:c r="D12" s="76"/>
      <x:c r="E12" s="76"/>
      <x:c r="F12" s="76"/>
      <x:c r="G12" s="76"/>
      <x:c r="H12" s="76"/>
    </x:row>
    <x:row r="13">
      <x:c r="A13" s="76"/>
      <x:c r="B13" s="76"/>
      <x:c r="C13" s="76"/>
      <x:c r="D13" s="76"/>
      <x:c r="E13" s="76"/>
      <x:c r="F13" s="76"/>
      <x:c r="G13" s="76"/>
      <x:c r="H13" s="76"/>
    </x:row>
    <x:row r="14">
      <x:c r="A14" s="76"/>
      <x:c r="B14" s="76"/>
      <x:c r="C14" s="76"/>
      <x:c r="D14" s="76"/>
      <x:c r="E14" s="76"/>
      <x:c r="F14" s="76"/>
      <x:c r="G14" s="76"/>
      <x:c r="H14" s="76"/>
    </x:row>
    <x:row r="15" ht="24" customHeight="1">
      <x:c r="A15" s="77" t="str">
        <x:v>Parâmetros editáveis do score</x:v>
      </x:c>
      <x:c r="B15" s="77"/>
      <x:c r="C15" s="77"/>
      <x:c r="D15" s="77"/>
      <x:c r="E15" s="76"/>
      <x:c r="F15" s="76"/>
      <x:c r="G15" s="76"/>
      <x:c r="H15" s="76"/>
    </x:row>
    <x:row r="16">
      <x:c r="A16" s="80" t="str">
        <x:v>Multiplicador Rank 5</x:v>
      </x:c>
      <x:c r="B16" s="81" t="n">
        <x:v>1.3</x:v>
      </x:c>
      <x:c r="C16" s="82" t="str">
        <x:v>Aplicado em ATK, Sp. ATK, DEF e Sp. DEF.</x:v>
      </x:c>
      <x:c r="D16" s="83" t="str">
        <x:v>Oficial</x:v>
      </x:c>
      <x:c r="E16" s="76"/>
      <x:c r="F16" s="76"/>
      <x:c r="G16" s="76"/>
      <x:c r="H16" s="76"/>
    </x:row>
    <x:row r="17">
      <x:c r="A17" s="80" t="str">
        <x:v>Peso · teto ofensivo</x:v>
      </x:c>
      <x:c r="B17" s="81" t="n">
        <x:v>0.6</x:v>
      </x:c>
      <x:c r="C17" s="82" t="str">
        <x:v>Maior entre ATK e Sp. ATK após bônus.</x:v>
      </x:c>
      <x:c r="D17" s="83" t="str">
        <x:v>Modelo</x:v>
      </x:c>
      <x:c r="E17" s="76"/>
      <x:c r="F17" s="76"/>
      <x:c r="G17" s="76"/>
      <x:c r="H17" s="76"/>
    </x:row>
    <x:row r="18">
      <x:c r="A18" s="80" t="str">
        <x:v>Peso · ofensiva secundária</x:v>
      </x:c>
      <x:c r="B18" s="81" t="n">
        <x:v>0.1</x:v>
      </x:c>
      <x:c r="C18" s="82" t="str">
        <x:v>Menor entre ATK e Sp. ATK após bônus.</x:v>
      </x:c>
      <x:c r="D18" s="83" t="str">
        <x:v>Modelo</x:v>
      </x:c>
      <x:c r="E18" s="76"/>
      <x:c r="F18" s="76"/>
      <x:c r="G18" s="76"/>
      <x:c r="H18" s="76"/>
    </x:row>
    <x:row r="19">
      <x:c r="A19" s="80" t="str">
        <x:v>Peso · robustez</x:v>
      </x:c>
      <x:c r="B19" s="81" t="n">
        <x:v>0.15</x:v>
      </x:c>
      <x:c r="C19" s="82" t="str">
        <x:v>Raiz de HP × média das defesas com bônus.</x:v>
      </x:c>
      <x:c r="D19" s="83" t="str">
        <x:v>Modelo</x:v>
      </x:c>
      <x:c r="E19" s="76"/>
      <x:c r="F19" s="76"/>
      <x:c r="G19" s="76"/>
      <x:c r="H19" s="76"/>
    </x:row>
    <x:row r="20">
      <x:c r="A20" s="80" t="str">
        <x:v>Peso · Speed</x:v>
      </x:c>
      <x:c r="B20" s="81" t="n">
        <x:v>0.1</x:v>
      </x:c>
      <x:c r="C20" s="82" t="str">
        <x:v>Mantido com peso moderado porque o efeito exato no ritmo de combate não está documentado.</x:v>
      </x:c>
      <x:c r="D20" s="83" t="str">
        <x:v>Modelo</x:v>
      </x:c>
      <x:c r="E20" s="76"/>
      <x:c r="F20" s="76"/>
      <x:c r="G20" s="76"/>
      <x:c r="H20" s="76"/>
    </x:row>
    <x:row r="21">
      <x:c r="A21" s="80" t="str">
        <x:v>Peso · BST</x:v>
      </x:c>
      <x:c r="B21" s="81" t="n">
        <x:v>0.05</x:v>
      </x:c>
      <x:c r="C21" s="82" t="str">
        <x:v>Soma dos seis stats base, como controle de consistência geral.</x:v>
      </x:c>
      <x:c r="D21" s="83" t="str">
        <x:v>Modelo</x:v>
      </x:c>
      <x:c r="E21" s="76"/>
      <x:c r="F21" s="76"/>
      <x:c r="G21" s="76"/>
      <x:c r="H21" s="76"/>
    </x:row>
    <x:row r="22">
      <x:c r="A22" s="80" t="str">
        <x:v>Máximo · teto ofensivo</x:v>
      </x:c>
      <x:c r="B22" s="81" t="n">
        <x:v>200.20000000000002</x:v>
      </x:c>
      <x:c r="C22" s="82" t="str">
        <x:v>Normalização global dos 251.</x:v>
      </x:c>
      <x:c r="D22" s="83" t="str">
        <x:v>Calculado</x:v>
      </x:c>
      <x:c r="E22" s="76"/>
      <x:c r="F22" s="76"/>
      <x:c r="G22" s="76"/>
      <x:c r="H22" s="76"/>
    </x:row>
    <x:row r="23">
      <x:c r="A23" s="80" t="str">
        <x:v>Máximo · ofensiva secundária</x:v>
      </x:c>
      <x:c r="B23" s="81" t="n">
        <x:v>143</x:v>
      </x:c>
      <x:c r="C23" s="82" t="str">
        <x:v>Normalização global dos 251.</x:v>
      </x:c>
      <x:c r="D23" s="83" t="str">
        <x:v>Calculado</x:v>
      </x:c>
      <x:c r="E23" s="76"/>
      <x:c r="F23" s="76"/>
      <x:c r="G23" s="76"/>
      <x:c r="H23" s="76"/>
    </x:row>
    <x:row r="24">
      <x:c r="A24" s="80" t="str">
        <x:v>Máximo · robustez</x:v>
      </x:c>
      <x:c r="B24" s="81" t="n">
        <x:v>155.02822323693192</x:v>
      </x:c>
      <x:c r="C24" s="82" t="str">
        <x:v>Normalização global dos 251.</x:v>
      </x:c>
      <x:c r="D24" s="83" t="str">
        <x:v>Calculado</x:v>
      </x:c>
      <x:c r="E24" s="76"/>
      <x:c r="F24" s="76"/>
      <x:c r="G24" s="76"/>
      <x:c r="H24" s="76"/>
    </x:row>
    <x:row r="25">
      <x:c r="A25" s="80" t="str">
        <x:v>Máximo · Speed</x:v>
      </x:c>
      <x:c r="B25" s="81" t="n">
        <x:v>150</x:v>
      </x:c>
      <x:c r="C25" s="82" t="str">
        <x:v>Normalização global dos 251.</x:v>
      </x:c>
      <x:c r="D25" s="83" t="str">
        <x:v>Calculado</x:v>
      </x:c>
      <x:c r="E25" s="76"/>
      <x:c r="F25" s="76"/>
      <x:c r="G25" s="76"/>
      <x:c r="H25" s="76"/>
    </x:row>
    <x:row r="26">
      <x:c r="A26" s="84" t="str">
        <x:v>Máximo · BST</x:v>
      </x:c>
      <x:c r="B26" s="85" t="n">
        <x:v>680</x:v>
      </x:c>
      <x:c r="C26" s="86" t="str">
        <x:v>Normalização global dos 251.</x:v>
      </x:c>
      <x:c r="D26" s="87" t="str">
        <x:v>Calculado</x:v>
      </x:c>
      <x:c r="E26" s="76"/>
      <x:c r="F26" s="76"/>
      <x:c r="G26" s="76"/>
      <x:c r="H26" s="76"/>
    </x:row>
    <x:row r="27">
      <x:c r="A27" s="76"/>
      <x:c r="B27" s="76"/>
      <x:c r="C27" s="76"/>
      <x:c r="D27" s="76"/>
      <x:c r="E27" s="76"/>
      <x:c r="F27" s="76"/>
      <x:c r="G27" s="76"/>
      <x:c r="H27" s="76"/>
    </x:row>
    <x:row r="28">
      <x:c r="A28" s="76"/>
      <x:c r="B28" s="76"/>
      <x:c r="C28" s="76"/>
      <x:c r="D28" s="76"/>
      <x:c r="E28" s="76"/>
      <x:c r="F28" s="76"/>
      <x:c r="G28" s="76"/>
      <x:c r="H28" s="76"/>
    </x:row>
    <x:row r="29">
      <x:c r="A29" s="77" t="str">
        <x:v>Fontes utilizadas</x:v>
      </x:c>
      <x:c r="B29" s="77"/>
      <x:c r="C29" s="77"/>
      <x:c r="D29" s="77"/>
      <x:c r="E29" s="77"/>
      <x:c r="F29" s="77"/>
      <x:c r="G29" s="77"/>
      <x:c r="H29" s="77"/>
    </x:row>
    <x:row r="30">
      <x:c r="A30" s="88" t="str">
        <x:v>Catálogo oficial</x:v>
      </x:c>
      <x:c r="B30" s="89" t="str">
        <x:v>https://poke.idleworld.online/pokepedia/pokemon</x:v>
      </x:c>
      <x:c r="C30" s="83" t="str">
        <x:v>251 espécies, tipos, stats, evoluções e páginas individuais.</x:v>
      </x:c>
      <x:c r="D30" s="76"/>
      <x:c r="E30" s="76"/>
      <x:c r="F30" s="76"/>
      <x:c r="G30" s="76"/>
      <x:c r="H30" s="76"/>
    </x:row>
    <x:row r="31">
      <x:c r="A31" s="88" t="str">
        <x:v>Clãs oficiais</x:v>
      </x:c>
      <x:c r="B31" s="89" t="str">
        <x:v>https://poke.idleworld.online/pokepedia/systems/clans</x:v>
      </x:c>
      <x:c r="C31" s="83" t="str">
        <x:v>+6% por rank em ATK, Sp. ATK, DEF e Sp. DEF; Rank 5 = +30%.</x:v>
      </x:c>
      <x:c r="D31" s="76"/>
      <x:c r="E31" s="76"/>
      <x:c r="F31" s="76"/>
      <x:c r="G31" s="76"/>
      <x:c r="H31" s="76"/>
    </x:row>
    <x:row r="32">
      <x:c r="A32" s="88" t="str">
        <x:v>Combate oficial</x:v>
      </x:c>
      <x:c r="B32" s="89" t="str">
        <x:v>https://poke.idleworld.online/pokepedia/systems/combat</x:v>
      </x:c>
      <x:c r="C32" s="83" t="str">
        <x:v>Hunts reforçadas e vantagens elementais amplificadas.</x:v>
      </x:c>
      <x:c r="D32" s="76"/>
      <x:c r="E32" s="76"/>
      <x:c r="F32" s="76"/>
      <x:c r="G32" s="76"/>
      <x:c r="H32" s="76"/>
    </x:row>
    <x:row r="33">
      <x:c r="A33" s="88" t="str">
        <x:v>Power oficial</x:v>
      </x:c>
      <x:c r="B33" s="89" t="str">
        <x:v>https://poke.idleworld.online/pokepedia/systems/power</x:v>
      </x:c>
      <x:c r="C33" s="83" t="str">
        <x:v>Power combina os seis stats e Quality; Quality pesa mais que IV.</x:v>
      </x:c>
      <x:c r="D33" s="76"/>
      <x:c r="E33" s="76"/>
      <x:c r="F33" s="76"/>
      <x:c r="G33" s="76"/>
      <x:c r="H33" s="76"/>
    </x:row>
    <x:row r="34">
      <x:c r="A34" s="88" t="str">
        <x:v>Quality oficial</x:v>
      </x:c>
      <x:c r="B34" s="89" t="str">
        <x:v>https://poke.idleworld.online/pokepedia/systems/quality</x:v>
      </x:c>
      <x:c r="C34" s="83" t="str">
        <x:v>Faixas de Quality e Growth/IV.</x:v>
      </x:c>
      <x:c r="D34" s="76"/>
      <x:c r="E34" s="76"/>
      <x:c r="F34" s="76"/>
      <x:c r="G34" s="76"/>
      <x:c r="H34" s="76"/>
    </x:row>
    <x:row r="35">
      <x:c r="A35" s="88" t="str">
        <x:v>Atlas · ranking</x:v>
      </x:c>
      <x:c r="B35" s="89" t="str">
        <x:v>https://atlas-poke.vercel.app/rankings</x:v>
      </x:c>
      <x:c r="C35" s="83" t="str">
        <x:v>Snapshot público de 16/07/2026 e conferência de base stats.</x:v>
      </x:c>
      <x:c r="D35" s="76"/>
      <x:c r="E35" s="76"/>
      <x:c r="F35" s="76"/>
      <x:c r="G35" s="76"/>
      <x:c r="H35" s="76"/>
    </x:row>
    <x:row r="36">
      <x:c r="A36" s="88" t="str">
        <x:v>Atlas · golpes</x:v>
      </x:c>
      <x:c r="B36" s="89" t="str">
        <x:v>https://atlas-poke.vercel.app/golpes</x:v>
      </x:c>
      <x:c r="C36" s="83" t="str">
        <x:v>251 fichas da Poképedia, 48 variantes e 361 golpes.</x:v>
      </x:c>
      <x:c r="D36" s="76"/>
      <x:c r="E36" s="76"/>
      <x:c r="F36" s="76"/>
      <x:c r="G36" s="76"/>
      <x:c r="H36" s="76"/>
    </x:row>
    <x:row r="37">
      <x:c r="A37" s="88" t="str">
        <x:v>Atlas · mapa</x:v>
      </x:c>
      <x:c r="B37" s="89" t="str">
        <x:v>https://atlas-poke.vercel.app/mapa</x:v>
      </x:c>
      <x:c r="C37" s="83" t="str">
        <x:v>194 encontros de espécies em Kanto, além das entradas de Outland.</x:v>
      </x:c>
      <x:c r="D37" s="76"/>
      <x:c r="E37" s="76"/>
      <x:c r="F37" s="76"/>
      <x:c r="G37" s="76"/>
      <x:c r="H37" s="76"/>
    </x:row>
    <x:row r="38">
      <x:c r="A38" s="90" t="str">
        <x:v>Base canônica auxiliar</x:v>
      </x:c>
      <x:c r="B38" s="91" t="str">
        <x:v>https://github.com/PokeAPI/pokeapi/tree/master/data/v2/csv</x:v>
      </x:c>
      <x:c r="C38" s="87" t="str">
        <x:v>CSV dos stats e tipos Gen 1–2, cruzados com a estrutura pública do Atlas/PokeIdle.</x:v>
      </x:c>
      <x:c r="D38" s="76"/>
      <x:c r="E38" s="76"/>
      <x:c r="F38" s="76"/>
      <x:c r="G38" s="76"/>
      <x:c r="H38" s="76"/>
    </x:row>
    <x:row r="39">
      <x:c r="A39" s="76"/>
      <x:c r="B39" s="76"/>
      <x:c r="C39" s="76"/>
      <x:c r="D39" s="76"/>
      <x:c r="E39" s="76"/>
      <x:c r="F39" s="76"/>
      <x:c r="G39" s="76"/>
      <x:c r="H39" s="76"/>
    </x:row>
    <x:row r="40">
      <x:c r="A40" s="76"/>
      <x:c r="B40" s="76"/>
      <x:c r="C40" s="76"/>
      <x:c r="D40" s="76"/>
      <x:c r="E40" s="76"/>
      <x:c r="F40" s="76"/>
      <x:c r="G40" s="76"/>
      <x:c r="H40" s="76"/>
    </x:row>
  </x:sheetData>
  <x:mergeCells>
    <x:mergeCell ref="A1:H1"/>
    <x:mergeCell ref="A2:H2"/>
    <x:mergeCell ref="A4:H4"/>
    <x:mergeCell ref="A15:D15"/>
    <x:mergeCell ref="A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72" hidden="0" customWidth="1"/>
    <x:col min="8" max="8" width="14" hidden="0" customWidth="1"/>
  </x:cols>
  <x:sheetData>
    <x:row r="1" ht="34" customHeight="1">
      <x:c r="A1" s="5" t="str">
        <x:v>Melhores times por clã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251 espécies auditadas · 240 utilizáveis · 11 lendários/míticos excluídos · 349 participações em clãs</x:v>
      </x:c>
      <x:c r="B2" s="12"/>
      <x:c r="C2" s="12"/>
      <x:c r="D2" s="12"/>
      <x:c r="E2" s="12"/>
      <x:c r="F2" s="12"/>
      <x:c r="G2" s="12"/>
      <x:c r="H2" s="12"/>
    </x:row>
    <x:row r="4">
      <x:c r="A4" s="115" t="str">
        <x:v>Clã</x:v>
      </x:c>
      <x:c r="B4" s="115" t="str">
        <x:v>Elementos</x:v>
      </x:c>
      <x:c r="C4" s="115" t="str">
        <x:v>Elegíveis</x:v>
      </x:c>
      <x:c r="D4" s="115" t="str">
        <x:v>Utilizáveis</x:v>
      </x:c>
      <x:c r="E4" s="115" t="str">
        <x:v>Excluídos</x:v>
      </x:c>
      <x:c r="F4" s="115" t="str">
        <x:v>Líder</x:v>
      </x:c>
      <x:c r="G4" s="115" t="str">
        <x:v>Melhor time de 6</x:v>
      </x:c>
      <x:c r="H4" s="115" t="str">
        <x:v>Score líder</x:v>
      </x:c>
    </x:row>
    <x:row r="5" ht="34" customHeight="1">
      <x:c r="A5" s="88" t="str">
        <x:v>Volcanic</x:v>
      </x:c>
      <x:c r="B5" s="82" t="str">
        <x:v>Fogo</x:v>
      </x:c>
      <x:c r="C5" s="82" t="n">
        <x:v>22</x:v>
      </x:c>
      <x:c r="D5" s="82" t="n">
        <x:v>19</x:v>
      </x:c>
      <x:c r="E5" s="82" t="n">
        <x:v>3</x:v>
      </x:c>
      <x:c r="F5" s="82" t="str">
        <x:v>Flareon</x:v>
      </x:c>
      <x:c r="G5" s="82" t="str">
        <x:v>Flareon · Arcanine · Charizard · Typhlosion · Houndoom · Magmar</x:v>
      </x:c>
      <x:c r="H5" s="126" t="n">
        <x:v>75.68</x:v>
      </x:c>
    </x:row>
    <x:row r="6" ht="34" customHeight="1">
      <x:c r="A6" s="88" t="str">
        <x:v>Raibolt</x:v>
      </x:c>
      <x:c r="B6" s="82" t="str">
        <x:v>Elétrico</x:v>
      </x:c>
      <x:c r="C6" s="82" t="n">
        <x:v>17</x:v>
      </x:c>
      <x:c r="D6" s="82" t="n">
        <x:v>15</x:v>
      </x:c>
      <x:c r="E6" s="82" t="n">
        <x:v>2</x:v>
      </x:c>
      <x:c r="F6" s="82" t="str">
        <x:v>Jolteon</x:v>
      </x:c>
      <x:c r="G6" s="82" t="str">
        <x:v>Jolteon · Ampharos · Magneton · Electabuzz · Raichu · Electrode</x:v>
      </x:c>
      <x:c r="H6" s="126" t="n">
        <x:v>69.12</x:v>
      </x:c>
    </x:row>
    <x:row r="7" ht="34" customHeight="1">
      <x:c r="A7" s="88" t="str">
        <x:v>Orebound</x:v>
      </x:c>
      <x:c r="B7" s="82" t="str">
        <x:v>Terra / Pedra</x:v>
      </x:c>
      <x:c r="C7" s="82" t="n">
        <x:v>34</x:v>
      </x:c>
      <x:c r="D7" s="82" t="n">
        <x:v>34</x:v>
      </x:c>
      <x:c r="E7" s="82" t="n">
        <x:v>0</x:v>
      </x:c>
      <x:c r="F7" s="82" t="str">
        <x:v>Tyranitar</x:v>
      </x:c>
      <x:c r="G7" s="82" t="str">
        <x:v>Tyranitar · Rhydon · Donphan · Golem · Kabutops · Aerodactyl</x:v>
      </x:c>
      <x:c r="H7" s="126" t="n">
        <x:v>80.63</x:v>
      </x:c>
    </x:row>
    <x:row r="8" ht="34" customHeight="1">
      <x:c r="A8" s="88" t="str">
        <x:v>Naturia</x:v>
      </x:c>
      <x:c r="B8" s="82" t="str">
        <x:v>Planta / Inseto</x:v>
      </x:c>
      <x:c r="C8" s="82" t="n">
        <x:v>44</x:v>
      </x:c>
      <x:c r="D8" s="82" t="n">
        <x:v>43</x:v>
      </x:c>
      <x:c r="E8" s="82" t="n">
        <x:v>1</x:v>
      </x:c>
      <x:c r="F8" s="82" t="str">
        <x:v>Exeggutor</x:v>
      </x:c>
      <x:c r="G8" s="82" t="str">
        <x:v>Exeggutor · Scizor · Pinsir · Heracross · Scyther · Victreebel</x:v>
      </x:c>
      <x:c r="H8" s="126" t="n">
        <x:v>74.52</x:v>
      </x:c>
    </x:row>
    <x:row r="9" ht="34" customHeight="1">
      <x:c r="A9" s="88" t="str">
        <x:v>Gardestrike</x:v>
      </x:c>
      <x:c r="B9" s="82" t="str">
        <x:v>Normal / Lutador</x:v>
      </x:c>
      <x:c r="C9" s="82" t="n">
        <x:v>48</x:v>
      </x:c>
      <x:c r="D9" s="82" t="n">
        <x:v>48</x:v>
      </x:c>
      <x:c r="E9" s="82" t="n">
        <x:v>0</x:v>
      </x:c>
      <x:c r="F9" s="82" t="str">
        <x:v>Ursaring</x:v>
      </x:c>
      <x:c r="G9" s="82" t="str">
        <x:v>Ursaring · Machamp · Heracross · Snorlax · Hitmonlee · Dodrio</x:v>
      </x:c>
      <x:c r="H9" s="126" t="n">
        <x:v>73.87</x:v>
      </x:c>
    </x:row>
    <x:row r="10" ht="34" customHeight="1">
      <x:c r="A10" s="88" t="str">
        <x:v>Ironhard</x:v>
      </x:c>
      <x:c r="B10" s="82" t="str">
        <x:v>Aço</x:v>
      </x:c>
      <x:c r="C10" s="82" t="n">
        <x:v>6</x:v>
      </x:c>
      <x:c r="D10" s="82" t="n">
        <x:v>6</x:v>
      </x:c>
      <x:c r="E10" s="82" t="n">
        <x:v>0</x:v>
      </x:c>
      <x:c r="F10" s="82" t="str">
        <x:v>Scizor</x:v>
      </x:c>
      <x:c r="G10" s="82" t="str">
        <x:v>Scizor · Magneton · Forretress · Steelix · Skarmory · Magnemite</x:v>
      </x:c>
      <x:c r="H10" s="126" t="n">
        <x:v>72.42</x:v>
      </x:c>
    </x:row>
    <x:row r="11" ht="34" customHeight="1">
      <x:c r="A11" s="88" t="str">
        <x:v>Wingeon</x:v>
      </x:c>
      <x:c r="B11" s="82" t="str">
        <x:v>Voador / Dragão</x:v>
      </x:c>
      <x:c r="C11" s="82" t="n">
        <x:v>41</x:v>
      </x:c>
      <x:c r="D11" s="82" t="n">
        <x:v>36</x:v>
      </x:c>
      <x:c r="E11" s="82" t="n">
        <x:v>5</x:v>
      </x:c>
      <x:c r="F11" s="82" t="str">
        <x:v>Dragonite</x:v>
      </x:c>
      <x:c r="G11" s="82" t="str">
        <x:v>Dragonite · Gyarados · Charizard · Aerodactyl · Scyther · Dodrio</x:v>
      </x:c>
      <x:c r="H11" s="126" t="n">
        <x:v>81.44</x:v>
      </x:c>
    </x:row>
    <x:row r="12" ht="34" customHeight="1">
      <x:c r="A12" s="88" t="str">
        <x:v>Psycraft</x:v>
      </x:c>
      <x:c r="B12" s="82" t="str">
        <x:v>Psíquico / Fada</x:v>
      </x:c>
      <x:c r="C12" s="82" t="n">
        <x:v>36</x:v>
      </x:c>
      <x:c r="D12" s="82" t="n">
        <x:v>32</x:v>
      </x:c>
      <x:c r="E12" s="82" t="n">
        <x:v>4</x:v>
      </x:c>
      <x:c r="F12" s="82" t="str">
        <x:v>Alakazam</x:v>
      </x:c>
      <x:c r="G12" s="82" t="str">
        <x:v>Alakazam · Espeon · Exeggutor · Granbull · Jynx · Starmie</x:v>
      </x:c>
      <x:c r="H12" s="126" t="n">
        <x:v>75.66</x:v>
      </x:c>
    </x:row>
    <x:row r="13" ht="34" customHeight="1">
      <x:c r="A13" s="88" t="str">
        <x:v>Seavell</x:v>
      </x:c>
      <x:c r="B13" s="82" t="str">
        <x:v>Água / Gelo</x:v>
      </x:c>
      <x:c r="C13" s="82" t="n">
        <x:v>57</x:v>
      </x:c>
      <x:c r="D13" s="82" t="n">
        <x:v>55</x:v>
      </x:c>
      <x:c r="E13" s="82" t="n">
        <x:v>2</x:v>
      </x:c>
      <x:c r="F13" s="82" t="str">
        <x:v>Gyarados</x:v>
      </x:c>
      <x:c r="G13" s="82" t="str">
        <x:v>Gyarados · Kingler · Vaporeon · Kabutops · Feraligatr · Omastar</x:v>
      </x:c>
      <x:c r="H13" s="126" t="n">
        <x:v>73.7</x:v>
      </x:c>
    </x:row>
    <x:row r="14" ht="34" customHeight="1">
      <x:c r="A14" s="90" t="str">
        <x:v>Malefic</x:v>
      </x:c>
      <x:c r="B14" s="86" t="str">
        <x:v>Fantasma / Sombrio / Veneno</x:v>
      </x:c>
      <x:c r="C14" s="86" t="n">
        <x:v>44</x:v>
      </x:c>
      <x:c r="D14" s="86" t="n">
        <x:v>44</x:v>
      </x:c>
      <x:c r="E14" s="86" t="n">
        <x:v>0</x:v>
      </x:c>
      <x:c r="F14" s="86" t="str">
        <x:v>Tyranitar</x:v>
      </x:c>
      <x:c r="G14" s="86" t="str">
        <x:v>Tyranitar · Gengar · Houndoom · Victreebel · Vileplume · Nidoking</x:v>
      </x:c>
      <x:c r="H14" s="127" t="n">
        <x:v>80.63</x:v>
      </x:c>
    </x:row>
  </x:sheetData>
  <x:mergeCells>
    <x:mergeCell ref="A1:H1"/>
    <x:mergeCell ref="A2:H2"/>
  </x:mergeCells>
  <x:conditionalFormatting sqref="H5:H14">
    <x:cfRule type="dataBar" priority="1">
      <x:dataBar>
        <x:cfvo type="min"/>
        <x:cfvo type="max"/>
        <x:color rgb="FFE5B34F"/>
      </x:dataBar>
      <x:extLst>
        <x:ext xmlns:x14="http://schemas.microsoft.com/office/spreadsheetml/2009/9/main" uri="{B025F937-C7B1-47D3-B67F-A62EFF666E3E}">
          <x14:id>{A13DC725-2090-3048-2DAF-9FB84E0BB6A8}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8e0f19c2ef08482f"/>
  <x:tableParts count="1">
    <x:tablePart xmlns:r="http://schemas.openxmlformats.org/officeDocument/2006/relationships" r:id="R592603990a6646c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13DC725-2090-3048-2DAF-9FB84E0BB6A8}">
            <x14:dataBar gradient="1">
              <x14:cfvo type="min"/>
              <x14:cfvo type="max"/>
              <x14:fillColor rgb="FFE5B34F"/>
            </x14:dataBar>
          </x14:cfRule>
          <xm:sqref>H5:H14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22" hidden="0" customWidth="1"/>
    <x:col min="4" max="4" width="3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8" hidden="0" customWidth="1"/>
    <x:col min="17" max="17" width="18" hidden="0" customWidth="1"/>
    <x:col min="18" max="18" width="18" hidden="0" customWidth="1"/>
    <x:col min="19" max="19" width="55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 ht="34" customHeight="1">
      <x:c r="A1" s="5" t="str">
        <x:v>Auditoria completa das 251 espécies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24" customHeight="1">
      <x:c r="A2" s="12" t="str">
        <x:v>Cada espécie aparece uma vez nesta aba; a coluna Clãs comprova a cobertura integral e registra os Eevee disponíveis na Poképedia.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</x:row>
    <x:row r="4">
      <x:c r="A4" s="115" t="str">
        <x:v>#</x:v>
      </x:c>
      <x:c r="B4" s="115" t="str">
        <x:v>Pokémon</x:v>
      </x:c>
      <x:c r="C4" s="115" t="str">
        <x:v>Tipos</x:v>
      </x:c>
      <x:c r="D4" s="115" t="str">
        <x:v>Clãs</x:v>
      </x:c>
      <x:c r="E4" s="115" t="str">
        <x:v>Qtd. clãs</x:v>
      </x:c>
      <x:c r="F4" s="115" t="str">
        <x:v>Tier</x:v>
      </x:c>
      <x:c r="G4" s="115" t="str">
        <x:v>Score</x:v>
      </x:c>
      <x:c r="H4" s="115" t="str">
        <x:v>Rank global</x:v>
      </x:c>
      <x:c r="I4" s="115" t="str">
        <x:v>BST</x:v>
      </x:c>
      <x:c r="J4" s="115" t="str">
        <x:v>HP</x:v>
      </x:c>
      <x:c r="K4" s="115" t="str">
        <x:v>ATK</x:v>
      </x:c>
      <x:c r="L4" s="115" t="str">
        <x:v>DEF</x:v>
      </x:c>
      <x:c r="M4" s="115" t="str">
        <x:v>Sp. ATK</x:v>
      </x:c>
      <x:c r="N4" s="115" t="str">
        <x:v>Sp. DEF</x:v>
      </x:c>
      <x:c r="O4" s="115" t="str">
        <x:v>Speed</x:v>
      </x:c>
      <x:c r="P4" s="115" t="str">
        <x:v>Hunt Kanto</x:v>
      </x:c>
      <x:c r="Q4" s="115" t="str">
        <x:v>Lendário/mítico</x:v>
      </x:c>
      <x:c r="R4" s="115" t="str">
        <x:v>Status</x:v>
      </x:c>
      <x:c r="S4" s="115" t="str">
        <x:v>Fonte</x:v>
      </x:c>
      <x:c r="T4" s="115" t="str">
        <x:v>Teto ofensivo R5</x:v>
      </x:c>
      <x:c r="U4" s="115" t="str">
        <x:v>Ofensiva secundária R5</x:v>
      </x:c>
      <x:c r="V4" s="115" t="str">
        <x:v>Robustez R5</x:v>
      </x:c>
    </x:row>
    <x:row r="5" ht="22" customHeight="1">
      <x:c r="A5" s="82" t="n">
        <x:v>1</x:v>
      </x:c>
      <x:c r="B5" s="82" t="str">
        <x:v>Bulbasaur</x:v>
      </x:c>
      <x:c r="C5" s="82" t="str">
        <x:v>Planta / Veneno</x:v>
      </x:c>
      <x:c r="D5" s="82" t="str">
        <x:v>Naturia / Malefic</x:v>
      </x:c>
      <x:c r="E5" s="82" t="n">
        <x:v>2</x:v>
      </x:c>
      <x:c r="F5" s="82" t="str">
        <x:f>IF(G5&gt;=80,"S+",IF(G5&gt;=72,"S",IF(G5&gt;=65,"A",IF(G5&gt;=58,"B",IF(G5&gt;=50,"C",IF(G5&gt;=42,"D","E"))))))</x:f>
        <x:v>E</x:v>
      </x:c>
      <x:c r="G5" s="142" t="n">
        <x:f>ROUND(100*(Metodologia!$B$17*(T5/Metodologia!$B$22)+Metodologia!$B$18*(U5/Metodologia!$B$23)+Metodologia!$B$19*(V5/Metodologia!$B$24)+Metodologia!$B$20*(O5/Metodologia!$B$25)+Metodologia!$B$21*(I5/Metodologia!$B$26)),2)</x:f>
        <x:v>40.7</x:v>
      </x:c>
      <x:c r="H5" s="82" t="n">
        <x:f>IF(R5&lt;&gt;"Rankeado","",COUNTIFS($R$5:$R$255,"Rankeado",$G$5:$G$255,"&gt;"&amp;G5)+COUNTIFS($R$5:R5,"Rankeado",$G$5:G5,G5))</x:f>
        <x:v>176</x:v>
      </x:c>
      <x:c r="I5" s="82" t="n">
        <x:f>SUM(J5:O5)</x:f>
        <x:v>318</x:v>
      </x:c>
      <x:c r="J5" s="82" t="n">
        <x:v>45</x:v>
      </x:c>
      <x:c r="K5" s="82" t="n">
        <x:v>49</x:v>
      </x:c>
      <x:c r="L5" s="82" t="n">
        <x:v>49</x:v>
      </x:c>
      <x:c r="M5" s="82" t="n">
        <x:v>65</x:v>
      </x:c>
      <x:c r="N5" s="82" t="n">
        <x:v>65</x:v>
      </x:c>
      <x:c r="O5" s="82" t="n">
        <x:v>45</x:v>
      </x:c>
      <x:c r="P5" s="82" t="str">
        <x:v>Sim</x:v>
      </x:c>
      <x:c r="Q5" s="82" t="str">
        <x:v>Não</x:v>
      </x:c>
      <x:c r="R5" s="82" t="str">
        <x:v>Rankeado</x:v>
      </x:c>
      <x:c r="S5" s="82" t="str">
        <x:v>https://poke.idleworld.online/pokepedia/pokemon/bulbasaur</x:v>
      </x:c>
      <x:c r="T5" s="143" t="n">
        <x:f>MAX(K5,M5)*Metodologia!$B$16</x:f>
        <x:v>84.5</x:v>
      </x:c>
      <x:c r="U5" s="143" t="n">
        <x:f>MIN(K5,M5)*Metodologia!$B$16</x:f>
        <x:v>63.7</x:v>
      </x:c>
      <x:c r="V5" s="144" t="n">
        <x:f>SQRT(J5*AVERAGE(L5,N5)*Metodologia!$B$16)</x:f>
        <x:v>57.745129664760476</x:v>
      </x:c>
    </x:row>
    <x:row r="6" ht="22" customHeight="1">
      <x:c r="A6" s="82" t="n">
        <x:v>2</x:v>
      </x:c>
      <x:c r="B6" s="82" t="str">
        <x:v>Ivysaur</x:v>
      </x:c>
      <x:c r="C6" s="82" t="str">
        <x:v>Planta / Veneno</x:v>
      </x:c>
      <x:c r="D6" s="82" t="str">
        <x:v>Naturia / Malefic</x:v>
      </x:c>
      <x:c r="E6" s="82" t="n">
        <x:v>2</x:v>
      </x:c>
      <x:c r="F6" s="82" t="str">
        <x:f>IF(G6&gt;=80,"S+",IF(G6&gt;=72,"S",IF(G6&gt;=65,"A",IF(G6&gt;=58,"B",IF(G6&gt;=50,"C",IF(G6&gt;=42,"D","E"))))))</x:f>
        <x:v>C</x:v>
      </x:c>
      <x:c r="G6" s="142" t="n">
        <x:f>ROUND(100*(Metodologia!$B$17*(T6/Metodologia!$B$22)+Metodologia!$B$18*(U6/Metodologia!$B$23)+Metodologia!$B$19*(V6/Metodologia!$B$24)+Metodologia!$B$20*(O6/Metodologia!$B$25)+Metodologia!$B$21*(I6/Metodologia!$B$26)),2)</x:f>
        <x:v>51.01</x:v>
      </x:c>
      <x:c r="H6" s="82" t="n">
        <x:f>IF(R6&lt;&gt;"Rankeado","",COUNTIFS($R$5:$R$255,"Rankeado",$G$5:$G$255,"&gt;"&amp;G6)+COUNTIFS($R$5:R6,"Rankeado",$G$5:G6,G6))</x:f>
        <x:v>127</x:v>
      </x:c>
      <x:c r="I6" s="82" t="n">
        <x:f>SUM(J6:O6)</x:f>
        <x:v>405</x:v>
      </x:c>
      <x:c r="J6" s="82" t="n">
        <x:v>60</x:v>
      </x:c>
      <x:c r="K6" s="82" t="n">
        <x:v>62</x:v>
      </x:c>
      <x:c r="L6" s="82" t="n">
        <x:v>63</x:v>
      </x:c>
      <x:c r="M6" s="82" t="n">
        <x:v>80</x:v>
      </x:c>
      <x:c r="N6" s="82" t="n">
        <x:v>80</x:v>
      </x:c>
      <x:c r="O6" s="82" t="n">
        <x:v>60</x:v>
      </x:c>
      <x:c r="P6" s="82" t="str">
        <x:v>Sim</x:v>
      </x:c>
      <x:c r="Q6" s="82" t="str">
        <x:v>Não</x:v>
      </x:c>
      <x:c r="R6" s="82" t="str">
        <x:v>Rankeado</x:v>
      </x:c>
      <x:c r="S6" s="82" t="str">
        <x:v>https://poke.idleworld.online/pokepedia/pokemon/ivysaur</x:v>
      </x:c>
      <x:c r="T6" s="143" t="n">
        <x:f>MAX(K6,M6)*Metodologia!$B$16</x:f>
        <x:v>104</x:v>
      </x:c>
      <x:c r="U6" s="143" t="n">
        <x:f>MIN(K6,M6)*Metodologia!$B$16</x:f>
        <x:v>80.60000000000001</x:v>
      </x:c>
      <x:c r="V6" s="144" t="n">
        <x:f>SQRT(J6*AVERAGE(L6,N6)*Metodologia!$B$16)</x:f>
        <x:v>74.67931440499437</x:v>
      </x:c>
    </x:row>
    <x:row r="7" ht="22" customHeight="1">
      <x:c r="A7" s="82" t="n">
        <x:v>3</x:v>
      </x:c>
      <x:c r="B7" s="82" t="str">
        <x:v>Venusaur</x:v>
      </x:c>
      <x:c r="C7" s="82" t="str">
        <x:v>Planta / Veneno</x:v>
      </x:c>
      <x:c r="D7" s="82" t="str">
        <x:v>Naturia / Malefic</x:v>
      </x:c>
      <x:c r="E7" s="82" t="n">
        <x:v>2</x:v>
      </x:c>
      <x:c r="F7" s="82" t="str">
        <x:f>IF(G7&gt;=80,"S+",IF(G7&gt;=72,"S",IF(G7&gt;=65,"A",IF(G7&gt;=58,"B",IF(G7&gt;=50,"C",IF(G7&gt;=42,"D","E"))))))</x:f>
        <x:v>A</x:v>
      </x:c>
      <x:c r="G7" s="142" t="n">
        <x:f>ROUND(100*(Metodologia!$B$17*(T7/Metodologia!$B$22)+Metodologia!$B$18*(U7/Metodologia!$B$23)+Metodologia!$B$19*(V7/Metodologia!$B$24)+Metodologia!$B$20*(O7/Metodologia!$B$25)+Metodologia!$B$21*(I7/Metodologia!$B$26)),2)</x:f>
        <x:v>65.05</x:v>
      </x:c>
      <x:c r="H7" s="82" t="n">
        <x:f>IF(R7&lt;&gt;"Rankeado","",COUNTIFS($R$5:$R$255,"Rankeado",$G$5:$G$255,"&gt;"&amp;G7)+COUNTIFS($R$5:R7,"Rankeado",$G$5:G7,G7))</x:f>
        <x:v>42</x:v>
      </x:c>
      <x:c r="I7" s="82" t="n">
        <x:f>SUM(J7:O7)</x:f>
        <x:v>525</x:v>
      </x:c>
      <x:c r="J7" s="82" t="n">
        <x:v>80</x:v>
      </x:c>
      <x:c r="K7" s="82" t="n">
        <x:v>82</x:v>
      </x:c>
      <x:c r="L7" s="82" t="n">
        <x:v>83</x:v>
      </x:c>
      <x:c r="M7" s="82" t="n">
        <x:v>100</x:v>
      </x:c>
      <x:c r="N7" s="82" t="n">
        <x:v>100</x:v>
      </x:c>
      <x:c r="O7" s="82" t="n">
        <x:v>80</x:v>
      </x:c>
      <x:c r="P7" s="82" t="str">
        <x:v>Sim</x:v>
      </x:c>
      <x:c r="Q7" s="82" t="str">
        <x:v>Não</x:v>
      </x:c>
      <x:c r="R7" s="82" t="str">
        <x:v>Rankeado</x:v>
      </x:c>
      <x:c r="S7" s="82" t="str">
        <x:v>https://poke.idleworld.online/pokepedia/pokemon/venusaur</x:v>
      </x:c>
      <x:c r="T7" s="143" t="n">
        <x:f>MAX(K7,M7)*Metodologia!$B$16</x:f>
        <x:v>130</x:v>
      </x:c>
      <x:c r="U7" s="143" t="n">
        <x:f>MIN(K7,M7)*Metodologia!$B$16</x:f>
        <x:v>106.60000000000001</x:v>
      </x:c>
      <x:c r="V7" s="144" t="n">
        <x:f>SQRT(J7*AVERAGE(L7,N7)*Metodologia!$B$16)</x:f>
        <x:v>97.54998718605759</x:v>
      </x:c>
    </x:row>
    <x:row r="8" ht="22" customHeight="1">
      <x:c r="A8" s="82" t="n">
        <x:v>4</x:v>
      </x:c>
      <x:c r="B8" s="82" t="str">
        <x:v>Charmander</x:v>
      </x:c>
      <x:c r="C8" s="82" t="str">
        <x:v>Fogo</x:v>
      </x:c>
      <x:c r="D8" s="82" t="str">
        <x:v>Volcanic</x:v>
      </x:c>
      <x:c r="E8" s="82" t="n">
        <x:v>1</x:v>
      </x:c>
      <x:c r="F8" s="82" t="str">
        <x:f>IF(G8&gt;=80,"S+",IF(G8&gt;=72,"S",IF(G8&gt;=65,"A",IF(G8&gt;=58,"B",IF(G8&gt;=50,"C",IF(G8&gt;=42,"D","E"))))))</x:f>
        <x:v>E</x:v>
      </x:c>
      <x:c r="G8" s="142" t="n">
        <x:f>ROUND(100*(Metodologia!$B$17*(T8/Metodologia!$B$22)+Metodologia!$B$18*(U8/Metodologia!$B$23)+Metodologia!$B$19*(V8/Metodologia!$B$24)+Metodologia!$B$20*(O8/Metodologia!$B$25)+Metodologia!$B$21*(I8/Metodologia!$B$26)),2)</x:f>
        <x:v>39.41</x:v>
      </x:c>
      <x:c r="H8" s="82" t="n">
        <x:f>IF(R8&lt;&gt;"Rankeado","",COUNTIFS($R$5:$R$255,"Rankeado",$G$5:$G$255,"&gt;"&amp;G8)+COUNTIFS($R$5:R8,"Rankeado",$G$5:G8,G8))</x:f>
        <x:v>184</x:v>
      </x:c>
      <x:c r="I8" s="82" t="n">
        <x:f>SUM(J8:O8)</x:f>
        <x:v>309</x:v>
      </x:c>
      <x:c r="J8" s="82" t="n">
        <x:v>39</x:v>
      </x:c>
      <x:c r="K8" s="82" t="n">
        <x:v>52</x:v>
      </x:c>
      <x:c r="L8" s="82" t="n">
        <x:v>43</x:v>
      </x:c>
      <x:c r="M8" s="82" t="n">
        <x:v>60</x:v>
      </x:c>
      <x:c r="N8" s="82" t="n">
        <x:v>50</x:v>
      </x:c>
      <x:c r="O8" s="82" t="n">
        <x:v>65</x:v>
      </x:c>
      <x:c r="P8" s="82" t="str">
        <x:v>Sim</x:v>
      </x:c>
      <x:c r="Q8" s="82" t="str">
        <x:v>Não</x:v>
      </x:c>
      <x:c r="R8" s="82" t="str">
        <x:v>Rankeado</x:v>
      </x:c>
      <x:c r="S8" s="82" t="str">
        <x:v>https://poke.idleworld.online/pokepedia/pokemon/charmander</x:v>
      </x:c>
      <x:c r="T8" s="143" t="n">
        <x:f>MAX(K8,M8)*Metodologia!$B$16</x:f>
        <x:v>78</x:v>
      </x:c>
      <x:c r="U8" s="143" t="n">
        <x:f>MIN(K8,M8)*Metodologia!$B$16</x:f>
        <x:v>67.60000000000001</x:v>
      </x:c>
      <x:c r="V8" s="144" t="n">
        <x:f>SQRT(J8*AVERAGE(L8,N8)*Metodologia!$B$16)</x:f>
        <x:v>48.55460843215606</x:v>
      </x:c>
    </x:row>
    <x:row r="9" ht="22" customHeight="1">
      <x:c r="A9" s="82" t="n">
        <x:v>5</x:v>
      </x:c>
      <x:c r="B9" s="82" t="str">
        <x:v>Charmeleon</x:v>
      </x:c>
      <x:c r="C9" s="82" t="str">
        <x:v>Fogo</x:v>
      </x:c>
      <x:c r="D9" s="82" t="str">
        <x:v>Volcanic</x:v>
      </x:c>
      <x:c r="E9" s="82" t="n">
        <x:v>1</x:v>
      </x:c>
      <x:c r="F9" s="82" t="str">
        <x:f>IF(G9&gt;=80,"S+",IF(G9&gt;=72,"S",IF(G9&gt;=65,"A",IF(G9&gt;=58,"B",IF(G9&gt;=50,"C",IF(G9&gt;=42,"D","E"))))))</x:f>
        <x:v>C</x:v>
      </x:c>
      <x:c r="G9" s="142" t="n">
        <x:f>ROUND(100*(Metodologia!$B$17*(T9/Metodologia!$B$22)+Metodologia!$B$18*(U9/Metodologia!$B$23)+Metodologia!$B$19*(V9/Metodologia!$B$24)+Metodologia!$B$20*(O9/Metodologia!$B$25)+Metodologia!$B$21*(I9/Metodologia!$B$26)),2)</x:f>
        <x:v>51.89</x:v>
      </x:c>
      <x:c r="H9" s="82" t="n">
        <x:f>IF(R9&lt;&gt;"Rankeado","",COUNTIFS($R$5:$R$255,"Rankeado",$G$5:$G$255,"&gt;"&amp;G9)+COUNTIFS($R$5:R9,"Rankeado",$G$5:G9,G9))</x:f>
        <x:v>121</x:v>
      </x:c>
      <x:c r="I9" s="82" t="n">
        <x:f>SUM(J9:O9)</x:f>
        <x:v>405</x:v>
      </x:c>
      <x:c r="J9" s="82" t="n">
        <x:v>58</x:v>
      </x:c>
      <x:c r="K9" s="82" t="n">
        <x:v>64</x:v>
      </x:c>
      <x:c r="L9" s="82" t="n">
        <x:v>58</x:v>
      </x:c>
      <x:c r="M9" s="82" t="n">
        <x:v>80</x:v>
      </x:c>
      <x:c r="N9" s="82" t="n">
        <x:v>65</x:v>
      </x:c>
      <x:c r="O9" s="82" t="n">
        <x:v>80</x:v>
      </x:c>
      <x:c r="P9" s="82" t="str">
        <x:v>Sim</x:v>
      </x:c>
      <x:c r="Q9" s="82" t="str">
        <x:v>Não</x:v>
      </x:c>
      <x:c r="R9" s="82" t="str">
        <x:v>Rankeado</x:v>
      </x:c>
      <x:c r="S9" s="82" t="str">
        <x:v>https://poke.idleworld.online/pokepedia/pokemon/charmeleon</x:v>
      </x:c>
      <x:c r="T9" s="143" t="n">
        <x:f>MAX(K9,M9)*Metodologia!$B$16</x:f>
        <x:v>104</x:v>
      </x:c>
      <x:c r="U9" s="143" t="n">
        <x:f>MIN(K9,M9)*Metodologia!$B$16</x:f>
        <x:v>83.2</x:v>
      </x:c>
      <x:c r="V9" s="144" t="n">
        <x:f>SQRT(J9*AVERAGE(L9,N9)*Metodologia!$B$16)</x:f>
        <x:v>68.09625540365637</x:v>
      </x:c>
    </x:row>
    <x:row r="10" ht="22" customHeight="1">
      <x:c r="A10" s="82" t="n">
        <x:v>6</x:v>
      </x:c>
      <x:c r="B10" s="82" t="str">
        <x:v>Charizard</x:v>
      </x:c>
      <x:c r="C10" s="82" t="str">
        <x:v>Fogo / Voador</x:v>
      </x:c>
      <x:c r="D10" s="82" t="str">
        <x:v>Volcanic / Wingeon</x:v>
      </x:c>
      <x:c r="E10" s="82" t="n">
        <x:v>2</x:v>
      </x:c>
      <x:c r="F10" s="82" t="str">
        <x:f>IF(G10&gt;=80,"S+",IF(G10&gt;=72,"S",IF(G10&gt;=65,"A",IF(G10&gt;=58,"B",IF(G10&gt;=50,"C",IF(G10&gt;=42,"D","E"))))))</x:f>
        <x:v>A</x:v>
      </x:c>
      <x:c r="G10" s="142" t="n">
        <x:f>ROUND(100*(Metodologia!$B$17*(T10/Metodologia!$B$22)+Metodologia!$B$18*(U10/Metodologia!$B$23)+Metodologia!$B$19*(V10/Metodologia!$B$24)+Metodologia!$B$20*(O10/Metodologia!$B$25)+Metodologia!$B$21*(I10/Metodologia!$B$26)),2)</x:f>
        <x:v>69.49</x:v>
      </x:c>
      <x:c r="H10" s="82" t="n">
        <x:f>IF(R10&lt;&gt;"Rankeado","",COUNTIFS($R$5:$R$255,"Rankeado",$G$5:$G$255,"&gt;"&amp;G10)+COUNTIFS($R$5:R10,"Rankeado",$G$5:G10,G10))</x:f>
        <x:v>17</x:v>
      </x:c>
      <x:c r="I10" s="82" t="n">
        <x:f>SUM(J10:O10)</x:f>
        <x:v>534</x:v>
      </x:c>
      <x:c r="J10" s="82" t="n">
        <x:v>78</x:v>
      </x:c>
      <x:c r="K10" s="82" t="n">
        <x:v>84</x:v>
      </x:c>
      <x:c r="L10" s="82" t="n">
        <x:v>78</x:v>
      </x:c>
      <x:c r="M10" s="82" t="n">
        <x:v>109</x:v>
      </x:c>
      <x:c r="N10" s="82" t="n">
        <x:v>85</x:v>
      </x:c>
      <x:c r="O10" s="82" t="n">
        <x:v>100</x:v>
      </x:c>
      <x:c r="P10" s="82" t="str">
        <x:v>Sim</x:v>
      </x:c>
      <x:c r="Q10" s="82" t="str">
        <x:v>Não</x:v>
      </x:c>
      <x:c r="R10" s="82" t="str">
        <x:v>Rankeado</x:v>
      </x:c>
      <x:c r="S10" s="82" t="str">
        <x:v>https://poke.idleworld.online/pokepedia/pokemon/charizard</x:v>
      </x:c>
      <x:c r="T10" s="143" t="n">
        <x:f>MAX(K10,M10)*Metodologia!$B$16</x:f>
        <x:v>141.70000000000002</x:v>
      </x:c>
      <x:c r="U10" s="143" t="n">
        <x:f>MIN(K10,M10)*Metodologia!$B$16</x:f>
        <x:v>109.2</x:v>
      </x:c>
      <x:c r="V10" s="144" t="n">
        <x:f>SQRT(J10*AVERAGE(L10,N10)*Metodologia!$B$16)</x:f>
        <x:v>90.90709543264487</x:v>
      </x:c>
    </x:row>
    <x:row r="11" ht="22" customHeight="1">
      <x:c r="A11" s="82" t="n">
        <x:v>7</x:v>
      </x:c>
      <x:c r="B11" s="82" t="str">
        <x:v>Squirtle</x:v>
      </x:c>
      <x:c r="C11" s="82" t="str">
        <x:v>Água</x:v>
      </x:c>
      <x:c r="D11" s="82" t="str">
        <x:v>Seavell</x:v>
      </x:c>
      <x:c r="E11" s="82" t="n">
        <x:v>1</x:v>
      </x:c>
      <x:c r="F11" s="82" t="str">
        <x:f>IF(G11&gt;=80,"S+",IF(G11&gt;=72,"S",IF(G11&gt;=65,"A",IF(G11&gt;=58,"B",IF(G11&gt;=50,"C",IF(G11&gt;=42,"D","E"))))))</x:f>
        <x:v>E</x:v>
      </x:c>
      <x:c r="G11" s="142" t="n">
        <x:f>ROUND(100*(Metodologia!$B$17*(T11/Metodologia!$B$22)+Metodologia!$B$18*(U11/Metodologia!$B$23)+Metodologia!$B$19*(V11/Metodologia!$B$24)+Metodologia!$B$20*(O11/Metodologia!$B$25)+Metodologia!$B$21*(I11/Metodologia!$B$26)),2)</x:f>
        <x:v>34.9</x:v>
      </x:c>
      <x:c r="H11" s="82" t="n">
        <x:f>IF(R11&lt;&gt;"Rankeado","",COUNTIFS($R$5:$R$255,"Rankeado",$G$5:$G$255,"&gt;"&amp;G11)+COUNTIFS($R$5:R11,"Rankeado",$G$5:G11,G11))</x:f>
        <x:v>205</x:v>
      </x:c>
      <x:c r="I11" s="82" t="n">
        <x:f>SUM(J11:O11)</x:f>
        <x:v>314</x:v>
      </x:c>
      <x:c r="J11" s="82" t="n">
        <x:v>44</x:v>
      </x:c>
      <x:c r="K11" s="82" t="n">
        <x:v>48</x:v>
      </x:c>
      <x:c r="L11" s="82" t="n">
        <x:v>65</x:v>
      </x:c>
      <x:c r="M11" s="82" t="n">
        <x:v>50</x:v>
      </x:c>
      <x:c r="N11" s="82" t="n">
        <x:v>64</x:v>
      </x:c>
      <x:c r="O11" s="82" t="n">
        <x:v>43</x:v>
      </x:c>
      <x:c r="P11" s="82" t="str">
        <x:v>Sim</x:v>
      </x:c>
      <x:c r="Q11" s="82" t="str">
        <x:v>Não</x:v>
      </x:c>
      <x:c r="R11" s="82" t="str">
        <x:v>Rankeado</x:v>
      </x:c>
      <x:c r="S11" s="82" t="str">
        <x:v>https://poke.idleworld.online/pokepedia/pokemon/squirtle</x:v>
      </x:c>
      <x:c r="T11" s="143" t="n">
        <x:f>MAX(K11,M11)*Metodologia!$B$16</x:f>
        <x:v>65</x:v>
      </x:c>
      <x:c r="U11" s="143" t="n">
        <x:f>MIN(K11,M11)*Metodologia!$B$16</x:f>
        <x:v>62.400000000000006</x:v>
      </x:c>
      <x:c r="V11" s="144" t="n">
        <x:f>SQRT(J11*AVERAGE(L11,N11)*Metodologia!$B$16)</x:f>
        <x:v>60.74043134519214</x:v>
      </x:c>
    </x:row>
    <x:row r="12" ht="22" customHeight="1">
      <x:c r="A12" s="82" t="n">
        <x:v>8</x:v>
      </x:c>
      <x:c r="B12" s="82" t="str">
        <x:v>Wartortle</x:v>
      </x:c>
      <x:c r="C12" s="82" t="str">
        <x:v>Água</x:v>
      </x:c>
      <x:c r="D12" s="82" t="str">
        <x:v>Seavell</x:v>
      </x:c>
      <x:c r="E12" s="82" t="n">
        <x:v>1</x:v>
      </x:c>
      <x:c r="F12" s="82" t="str">
        <x:f>IF(G12&gt;=80,"S+",IF(G12&gt;=72,"S",IF(G12&gt;=65,"A",IF(G12&gt;=58,"B",IF(G12&gt;=50,"C",IF(G12&gt;=42,"D","E"))))))</x:f>
        <x:v>D</x:v>
      </x:c>
      <x:c r="G12" s="142" t="n">
        <x:f>ROUND(100*(Metodologia!$B$17*(T12/Metodologia!$B$22)+Metodologia!$B$18*(U12/Metodologia!$B$23)+Metodologia!$B$19*(V12/Metodologia!$B$24)+Metodologia!$B$20*(O12/Metodologia!$B$25)+Metodologia!$B$21*(I12/Metodologia!$B$26)),2)</x:f>
        <x:v>45.48</x:v>
      </x:c>
      <x:c r="H12" s="82" t="n">
        <x:f>IF(R12&lt;&gt;"Rankeado","",COUNTIFS($R$5:$R$255,"Rankeado",$G$5:$G$255,"&gt;"&amp;G12)+COUNTIFS($R$5:R12,"Rankeado",$G$5:G12,G12))</x:f>
        <x:v>152</x:v>
      </x:c>
      <x:c r="I12" s="82" t="n">
        <x:f>SUM(J12:O12)</x:f>
        <x:v>405</x:v>
      </x:c>
      <x:c r="J12" s="82" t="n">
        <x:v>59</x:v>
      </x:c>
      <x:c r="K12" s="82" t="n">
        <x:v>63</x:v>
      </x:c>
      <x:c r="L12" s="82" t="n">
        <x:v>80</x:v>
      </x:c>
      <x:c r="M12" s="82" t="n">
        <x:v>65</x:v>
      </x:c>
      <x:c r="N12" s="82" t="n">
        <x:v>80</x:v>
      </x:c>
      <x:c r="O12" s="82" t="n">
        <x:v>58</x:v>
      </x:c>
      <x:c r="P12" s="82" t="str">
        <x:v>Sim</x:v>
      </x:c>
      <x:c r="Q12" s="82" t="str">
        <x:v>Não</x:v>
      </x:c>
      <x:c r="R12" s="82" t="str">
        <x:v>Rankeado</x:v>
      </x:c>
      <x:c r="S12" s="82" t="str">
        <x:v>https://poke.idleworld.online/pokepedia/pokemon/wartortle</x:v>
      </x:c>
      <x:c r="T12" s="143" t="n">
        <x:f>MAX(K12,M12)*Metodologia!$B$16</x:f>
        <x:v>84.5</x:v>
      </x:c>
      <x:c r="U12" s="143" t="n">
        <x:f>MIN(K12,M12)*Metodologia!$B$16</x:f>
        <x:v>81.9</x:v>
      </x:c>
      <x:c r="V12" s="144" t="n">
        <x:f>SQRT(J12*AVERAGE(L12,N12)*Metodologia!$B$16)</x:f>
        <x:v>78.33262411026456</x:v>
      </x:c>
    </x:row>
    <x:row r="13" ht="22" customHeight="1">
      <x:c r="A13" s="82" t="n">
        <x:v>9</x:v>
      </x:c>
      <x:c r="B13" s="82" t="str">
        <x:v>Blastoise</x:v>
      </x:c>
      <x:c r="C13" s="82" t="str">
        <x:v>Água</x:v>
      </x:c>
      <x:c r="D13" s="82" t="str">
        <x:v>Seavell</x:v>
      </x:c>
      <x:c r="E13" s="82" t="n">
        <x:v>1</x:v>
      </x:c>
      <x:c r="F13" s="82" t="str">
        <x:f>IF(G13&gt;=80,"S+",IF(G13&gt;=72,"S",IF(G13&gt;=65,"A",IF(G13&gt;=58,"B",IF(G13&gt;=50,"C",IF(G13&gt;=42,"D","E"))))))</x:f>
        <x:v>B</x:v>
      </x:c>
      <x:c r="G13" s="142" t="n">
        <x:f>ROUND(100*(Metodologia!$B$17*(T13/Metodologia!$B$22)+Metodologia!$B$18*(U13/Metodologia!$B$23)+Metodologia!$B$19*(V13/Metodologia!$B$24)+Metodologia!$B$20*(O13/Metodologia!$B$25)+Metodologia!$B$21*(I13/Metodologia!$B$26)),2)</x:f>
        <x:v>59.69</x:v>
      </x:c>
      <x:c r="H13" s="82" t="n">
        <x:f>IF(R13&lt;&gt;"Rankeado","",COUNTIFS($R$5:$R$255,"Rankeado",$G$5:$G$255,"&gt;"&amp;G13)+COUNTIFS($R$5:R13,"Rankeado",$G$5:G13,G13))</x:f>
        <x:v>69</x:v>
      </x:c>
      <x:c r="I13" s="82" t="n">
        <x:f>SUM(J13:O13)</x:f>
        <x:v>530</x:v>
      </x:c>
      <x:c r="J13" s="82" t="n">
        <x:v>79</x:v>
      </x:c>
      <x:c r="K13" s="82" t="n">
        <x:v>83</x:v>
      </x:c>
      <x:c r="L13" s="82" t="n">
        <x:v>100</x:v>
      </x:c>
      <x:c r="M13" s="82" t="n">
        <x:v>85</x:v>
      </x:c>
      <x:c r="N13" s="82" t="n">
        <x:v>105</x:v>
      </x:c>
      <x:c r="O13" s="82" t="n">
        <x:v>78</x:v>
      </x:c>
      <x:c r="P13" s="82" t="str">
        <x:v>Sim</x:v>
      </x:c>
      <x:c r="Q13" s="82" t="str">
        <x:v>Não</x:v>
      </x:c>
      <x:c r="R13" s="82" t="str">
        <x:v>Rankeado</x:v>
      </x:c>
      <x:c r="S13" s="82" t="str">
        <x:v>https://poke.idleworld.online/pokepedia/pokemon/blastoise</x:v>
      </x:c>
      <x:c r="T13" s="143" t="n">
        <x:f>MAX(K13,M13)*Metodologia!$B$16</x:f>
        <x:v>110.5</x:v>
      </x:c>
      <x:c r="U13" s="143" t="n">
        <x:f>MIN(K13,M13)*Metodologia!$B$16</x:f>
        <x:v>107.9</x:v>
      </x:c>
      <x:c r="V13" s="144" t="n">
        <x:f>SQRT(J13*AVERAGE(L13,N13)*Metodologia!$B$16)</x:f>
        <x:v>102.59995126704496</x:v>
      </x:c>
    </x:row>
    <x:row r="14" ht="22" customHeight="1">
      <x:c r="A14" s="82" t="n">
        <x:v>10</x:v>
      </x:c>
      <x:c r="B14" s="82" t="str">
        <x:v>Caterpie</x:v>
      </x:c>
      <x:c r="C14" s="82" t="str">
        <x:v>Inseto</x:v>
      </x:c>
      <x:c r="D14" s="82" t="str">
        <x:v>Naturia</x:v>
      </x:c>
      <x:c r="E14" s="82" t="n">
        <x:v>1</x:v>
      </x:c>
      <x:c r="F14" s="82" t="str">
        <x:f>IF(G14&gt;=80,"S+",IF(G14&gt;=72,"S",IF(G14&gt;=65,"A",IF(G14&gt;=58,"B",IF(G14&gt;=50,"C",IF(G14&gt;=42,"D","E"))))))</x:f>
        <x:v>E</x:v>
      </x:c>
      <x:c r="G14" s="142" t="n">
        <x:f>ROUND(100*(Metodologia!$B$17*(T14/Metodologia!$B$22)+Metodologia!$B$18*(U14/Metodologia!$B$23)+Metodologia!$B$19*(V14/Metodologia!$B$24)+Metodologia!$B$20*(O14/Metodologia!$B$25)+Metodologia!$B$21*(I14/Metodologia!$B$26)),2)</x:f>
        <x:v>21.82</x:v>
      </x:c>
      <x:c r="H14" s="82" t="n">
        <x:f>IF(R14&lt;&gt;"Rankeado","",COUNTIFS($R$5:$R$255,"Rankeado",$G$5:$G$255,"&gt;"&amp;G14)+COUNTIFS($R$5:R14,"Rankeado",$G$5:G14,G14))</x:f>
        <x:v>233</x:v>
      </x:c>
      <x:c r="I14" s="82" t="n">
        <x:f>SUM(J14:O14)</x:f>
        <x:v>195</x:v>
      </x:c>
      <x:c r="J14" s="82" t="n">
        <x:v>45</x:v>
      </x:c>
      <x:c r="K14" s="82" t="n">
        <x:v>30</x:v>
      </x:c>
      <x:c r="L14" s="82" t="n">
        <x:v>35</x:v>
      </x:c>
      <x:c r="M14" s="82" t="n">
        <x:v>20</x:v>
      </x:c>
      <x:c r="N14" s="82" t="n">
        <x:v>20</x:v>
      </x:c>
      <x:c r="O14" s="82" t="n">
        <x:v>45</x:v>
      </x:c>
      <x:c r="P14" s="82" t="str">
        <x:v>Sim</x:v>
      </x:c>
      <x:c r="Q14" s="82" t="str">
        <x:v>Não</x:v>
      </x:c>
      <x:c r="R14" s="82" t="str">
        <x:v>Rankeado</x:v>
      </x:c>
      <x:c r="S14" s="82" t="str">
        <x:v>https://poke.idleworld.online/pokepedia/pokemon/caterpie</x:v>
      </x:c>
      <x:c r="T14" s="143" t="n">
        <x:f>MAX(K14,M14)*Metodologia!$B$16</x:f>
        <x:v>39</x:v>
      </x:c>
      <x:c r="U14" s="143" t="n">
        <x:f>MIN(K14,M14)*Metodologia!$B$16</x:f>
        <x:v>26</x:v>
      </x:c>
      <x:c r="V14" s="144" t="n">
        <x:f>SQRT(J14*AVERAGE(L14,N14)*Metodologia!$B$16)</x:f>
        <x:v>40.10922587136281</x:v>
      </x:c>
    </x:row>
    <x:row r="15" ht="22" customHeight="1">
      <x:c r="A15" s="82" t="n">
        <x:v>11</x:v>
      </x:c>
      <x:c r="B15" s="82" t="str">
        <x:v>Metapod</x:v>
      </x:c>
      <x:c r="C15" s="82" t="str">
        <x:v>Inseto</x:v>
      </x:c>
      <x:c r="D15" s="82" t="str">
        <x:v>Naturia</x:v>
      </x:c>
      <x:c r="E15" s="82" t="n">
        <x:v>1</x:v>
      </x:c>
      <x:c r="F15" s="82" t="str">
        <x:f>IF(G15&gt;=80,"S+",IF(G15&gt;=72,"S",IF(G15&gt;=65,"A",IF(G15&gt;=58,"B",IF(G15&gt;=50,"C",IF(G15&gt;=42,"D","E"))))))</x:f>
        <x:v>E</x:v>
      </x:c>
      <x:c r="G15" s="142" t="n">
        <x:f>ROUND(100*(Metodologia!$B$17*(T15/Metodologia!$B$22)+Metodologia!$B$18*(U15/Metodologia!$B$23)+Metodologia!$B$19*(V15/Metodologia!$B$24)+Metodologia!$B$20*(O15/Metodologia!$B$25)+Metodologia!$B$21*(I15/Metodologia!$B$26)),2)</x:f>
        <x:v>20</x:v>
      </x:c>
      <x:c r="H15" s="82" t="n">
        <x:f>IF(R15&lt;&gt;"Rankeado","",COUNTIFS($R$5:$R$255,"Rankeado",$G$5:$G$255,"&gt;"&amp;G15)+COUNTIFS($R$5:R15,"Rankeado",$G$5:G15,G15))</x:f>
        <x:v>238</x:v>
      </x:c>
      <x:c r="I15" s="82" t="n">
        <x:f>SUM(J15:O15)</x:f>
        <x:v>205</x:v>
      </x:c>
      <x:c r="J15" s="82" t="n">
        <x:v>50</x:v>
      </x:c>
      <x:c r="K15" s="82" t="n">
        <x:v>20</x:v>
      </x:c>
      <x:c r="L15" s="82" t="n">
        <x:v>55</x:v>
      </x:c>
      <x:c r="M15" s="82" t="n">
        <x:v>25</x:v>
      </x:c>
      <x:c r="N15" s="82" t="n">
        <x:v>25</x:v>
      </x:c>
      <x:c r="O15" s="82" t="n">
        <x:v>30</x:v>
      </x:c>
      <x:c r="P15" s="82" t="str">
        <x:v>Sim</x:v>
      </x:c>
      <x:c r="Q15" s="82" t="str">
        <x:v>Não</x:v>
      </x:c>
      <x:c r="R15" s="82" t="str">
        <x:v>Rankeado</x:v>
      </x:c>
      <x:c r="S15" s="82" t="str">
        <x:v>https://poke.idleworld.online/pokepedia/pokemon/metapod</x:v>
      </x:c>
      <x:c r="T15" s="143" t="n">
        <x:f>MAX(K15,M15)*Metodologia!$B$16</x:f>
        <x:v>32.5</x:v>
      </x:c>
      <x:c r="U15" s="143" t="n">
        <x:f>MIN(K15,M15)*Metodologia!$B$16</x:f>
        <x:v>26</x:v>
      </x:c>
      <x:c r="V15" s="144" t="n">
        <x:f>SQRT(J15*AVERAGE(L15,N15)*Metodologia!$B$16)</x:f>
        <x:v>50.99019513592785</x:v>
      </x:c>
    </x:row>
    <x:row r="16" ht="22" customHeight="1">
      <x:c r="A16" s="82" t="n">
        <x:v>12</x:v>
      </x:c>
      <x:c r="B16" s="82" t="str">
        <x:v>Butterfree</x:v>
      </x:c>
      <x:c r="C16" s="82" t="str">
        <x:v>Inseto / Voador</x:v>
      </x:c>
      <x:c r="D16" s="82" t="str">
        <x:v>Naturia / Wingeon</x:v>
      </x:c>
      <x:c r="E16" s="82" t="n">
        <x:v>2</x:v>
      </x:c>
      <x:c r="F16" s="82" t="str">
        <x:f>IF(G16&gt;=80,"S+",IF(G16&gt;=72,"S",IF(G16&gt;=65,"A",IF(G16&gt;=58,"B",IF(G16&gt;=50,"C",IF(G16&gt;=42,"D","E"))))))</x:f>
        <x:v>C</x:v>
      </x:c>
      <x:c r="G16" s="142" t="n">
        <x:f>ROUND(100*(Metodologia!$B$17*(T16/Metodologia!$B$22)+Metodologia!$B$18*(U16/Metodologia!$B$23)+Metodologia!$B$19*(V16/Metodologia!$B$24)+Metodologia!$B$20*(O16/Metodologia!$B$25)+Metodologia!$B$21*(I16/Metodologia!$B$26)),2)</x:f>
        <x:v>53.62</x:v>
      </x:c>
      <x:c r="H16" s="82" t="n">
        <x:f>IF(R16&lt;&gt;"Rankeado","",COUNTIFS($R$5:$R$255,"Rankeado",$G$5:$G$255,"&gt;"&amp;G16)+COUNTIFS($R$5:R16,"Rankeado",$G$5:G16,G16))</x:f>
        <x:v>108</x:v>
      </x:c>
      <x:c r="I16" s="82" t="n">
        <x:f>SUM(J16:O16)</x:f>
        <x:v>395</x:v>
      </x:c>
      <x:c r="J16" s="82" t="n">
        <x:v>60</x:v>
      </x:c>
      <x:c r="K16" s="82" t="n">
        <x:v>45</x:v>
      </x:c>
      <x:c r="L16" s="82" t="n">
        <x:v>50</x:v>
      </x:c>
      <x:c r="M16" s="82" t="n">
        <x:v>90</x:v>
      </x:c>
      <x:c r="N16" s="82" t="n">
        <x:v>80</x:v>
      </x:c>
      <x:c r="O16" s="82" t="n">
        <x:v>70</x:v>
      </x:c>
      <x:c r="P16" s="82" t="str">
        <x:v>Sim</x:v>
      </x:c>
      <x:c r="Q16" s="82" t="str">
        <x:v>Não</x:v>
      </x:c>
      <x:c r="R16" s="82" t="str">
        <x:v>Rankeado</x:v>
      </x:c>
      <x:c r="S16" s="82" t="str">
        <x:v>https://poke.idleworld.online/pokepedia/pokemon/butterfree</x:v>
      </x:c>
      <x:c r="T16" s="143" t="n">
        <x:f>MAX(K16,M16)*Metodologia!$B$16</x:f>
        <x:v>117</x:v>
      </x:c>
      <x:c r="U16" s="143" t="n">
        <x:f>MIN(K16,M16)*Metodologia!$B$16</x:f>
        <x:v>58.5</x:v>
      </x:c>
      <x:c r="V16" s="144" t="n">
        <x:f>SQRT(J16*AVERAGE(L16,N16)*Metodologia!$B$16)</x:f>
        <x:v>71.20393247567159</x:v>
      </x:c>
    </x:row>
    <x:row r="17" ht="22" customHeight="1">
      <x:c r="A17" s="82" t="n">
        <x:v>13</x:v>
      </x:c>
      <x:c r="B17" s="82" t="str">
        <x:v>Weedle</x:v>
      </x:c>
      <x:c r="C17" s="82" t="str">
        <x:v>Inseto / Veneno</x:v>
      </x:c>
      <x:c r="D17" s="82" t="str">
        <x:v>Naturia / Malefic</x:v>
      </x:c>
      <x:c r="E17" s="82" t="n">
        <x:v>2</x:v>
      </x:c>
      <x:c r="F17" s="82" t="str">
        <x:f>IF(G17&gt;=80,"S+",IF(G17&gt;=72,"S",IF(G17&gt;=65,"A",IF(G17&gt;=58,"B",IF(G17&gt;=50,"C",IF(G17&gt;=42,"D","E"))))))</x:f>
        <x:v>E</x:v>
      </x:c>
      <x:c r="G17" s="142" t="n">
        <x:f>ROUND(100*(Metodologia!$B$17*(T17/Metodologia!$B$22)+Metodologia!$B$18*(U17/Metodologia!$B$23)+Metodologia!$B$19*(V17/Metodologia!$B$24)+Metodologia!$B$20*(O17/Metodologia!$B$25)+Metodologia!$B$21*(I17/Metodologia!$B$26)),2)</x:f>
        <x:v>23.71</x:v>
      </x:c>
      <x:c r="H17" s="82" t="n">
        <x:f>IF(R17&lt;&gt;"Rankeado","",COUNTIFS($R$5:$R$255,"Rankeado",$G$5:$G$255,"&gt;"&amp;G17)+COUNTIFS($R$5:R17,"Rankeado",$G$5:G17,G17))</x:f>
        <x:v>232</x:v>
      </x:c>
      <x:c r="I17" s="82" t="n">
        <x:f>SUM(J17:O17)</x:f>
        <x:v>195</x:v>
      </x:c>
      <x:c r="J17" s="82" t="n">
        <x:v>40</x:v>
      </x:c>
      <x:c r="K17" s="82" t="n">
        <x:v>35</x:v>
      </x:c>
      <x:c r="L17" s="82" t="n">
        <x:v>30</x:v>
      </x:c>
      <x:c r="M17" s="82" t="n">
        <x:v>20</x:v>
      </x:c>
      <x:c r="N17" s="82" t="n">
        <x:v>20</x:v>
      </x:c>
      <x:c r="O17" s="82" t="n">
        <x:v>50</x:v>
      </x:c>
      <x:c r="P17" s="82" t="str">
        <x:v>Sim</x:v>
      </x:c>
      <x:c r="Q17" s="82" t="str">
        <x:v>Não</x:v>
      </x:c>
      <x:c r="R17" s="82" t="str">
        <x:v>Rankeado</x:v>
      </x:c>
      <x:c r="S17" s="82" t="str">
        <x:v>https://poke.idleworld.online/pokepedia/pokemon/weedle</x:v>
      </x:c>
      <x:c r="T17" s="143" t="n">
        <x:f>MAX(K17,M17)*Metodologia!$B$16</x:f>
        <x:v>45.5</x:v>
      </x:c>
      <x:c r="U17" s="143" t="n">
        <x:f>MIN(K17,M17)*Metodologia!$B$16</x:f>
        <x:v>26</x:v>
      </x:c>
      <x:c r="V17" s="144" t="n">
        <x:f>SQRT(J17*AVERAGE(L17,N17)*Metodologia!$B$16)</x:f>
        <x:v>36.05551275463989</x:v>
      </x:c>
    </x:row>
    <x:row r="18" ht="22" customHeight="1">
      <x:c r="A18" s="82" t="n">
        <x:v>14</x:v>
      </x:c>
      <x:c r="B18" s="82" t="str">
        <x:v>Kakuna</x:v>
      </x:c>
      <x:c r="C18" s="82" t="str">
        <x:v>Inseto / Veneno</x:v>
      </x:c>
      <x:c r="D18" s="82" t="str">
        <x:v>Naturia / Malefic</x:v>
      </x:c>
      <x:c r="E18" s="82" t="n">
        <x:v>2</x:v>
      </x:c>
      <x:c r="F18" s="82" t="str">
        <x:f>IF(G18&gt;=80,"S+",IF(G18&gt;=72,"S",IF(G18&gt;=65,"A",IF(G18&gt;=58,"B",IF(G18&gt;=50,"C",IF(G18&gt;=42,"D","E"))))))</x:f>
        <x:v>E</x:v>
      </x:c>
      <x:c r="G18" s="142" t="n">
        <x:f>ROUND(100*(Metodologia!$B$17*(T18/Metodologia!$B$22)+Metodologia!$B$18*(U18/Metodologia!$B$23)+Metodologia!$B$19*(V18/Metodologia!$B$24)+Metodologia!$B$20*(O18/Metodologia!$B$25)+Metodologia!$B$21*(I18/Metodologia!$B$26)),2)</x:f>
        <x:v>20.39</x:v>
      </x:c>
      <x:c r="H18" s="82" t="n">
        <x:f>IF(R18&lt;&gt;"Rankeado","",COUNTIFS($R$5:$R$255,"Rankeado",$G$5:$G$255,"&gt;"&amp;G18)+COUNTIFS($R$5:R18,"Rankeado",$G$5:G18,G18))</x:f>
        <x:v>237</x:v>
      </x:c>
      <x:c r="I18" s="82" t="n">
        <x:f>SUM(J18:O18)</x:f>
        <x:v>205</x:v>
      </x:c>
      <x:c r="J18" s="82" t="n">
        <x:v>45</x:v>
      </x:c>
      <x:c r="K18" s="82" t="n">
        <x:v>25</x:v>
      </x:c>
      <x:c r="L18" s="82" t="n">
        <x:v>50</x:v>
      </x:c>
      <x:c r="M18" s="82" t="n">
        <x:v>25</x:v>
      </x:c>
      <x:c r="N18" s="82" t="n">
        <x:v>25</x:v>
      </x:c>
      <x:c r="O18" s="82" t="n">
        <x:v>35</x:v>
      </x:c>
      <x:c r="P18" s="82" t="str">
        <x:v>Sim</x:v>
      </x:c>
      <x:c r="Q18" s="82" t="str">
        <x:v>Não</x:v>
      </x:c>
      <x:c r="R18" s="82" t="str">
        <x:v>Rankeado</x:v>
      </x:c>
      <x:c r="S18" s="82" t="str">
        <x:v>https://poke.idleworld.online/pokepedia/pokemon/kakuna</x:v>
      </x:c>
      <x:c r="T18" s="143" t="n">
        <x:f>MAX(K18,M18)*Metodologia!$B$16</x:f>
        <x:v>32.5</x:v>
      </x:c>
      <x:c r="U18" s="143" t="n">
        <x:f>MIN(K18,M18)*Metodologia!$B$16</x:f>
        <x:v>32.5</x:v>
      </x:c>
      <x:c r="V18" s="144" t="n">
        <x:f>SQRT(J18*AVERAGE(L18,N18)*Metodologia!$B$16)</x:f>
        <x:v>46.837484987987985</x:v>
      </x:c>
    </x:row>
    <x:row r="19" ht="22" customHeight="1">
      <x:c r="A19" s="82" t="n">
        <x:v>15</x:v>
      </x:c>
      <x:c r="B19" s="82" t="str">
        <x:v>Beedrill</x:v>
      </x:c>
      <x:c r="C19" s="82" t="str">
        <x:v>Inseto / Veneno</x:v>
      </x:c>
      <x:c r="D19" s="82" t="str">
        <x:v>Naturia / Malefic</x:v>
      </x:c>
      <x:c r="E19" s="82" t="n">
        <x:v>2</x:v>
      </x:c>
      <x:c r="F19" s="82" t="str">
        <x:f>IF(G19&gt;=80,"S+",IF(G19&gt;=72,"S",IF(G19&gt;=65,"A",IF(G19&gt;=58,"B",IF(G19&gt;=50,"C",IF(G19&gt;=42,"D","E"))))))</x:f>
        <x:v>C</x:v>
      </x:c>
      <x:c r="G19" s="142" t="n">
        <x:f>ROUND(100*(Metodologia!$B$17*(T19/Metodologia!$B$22)+Metodologia!$B$18*(U19/Metodologia!$B$23)+Metodologia!$B$19*(V19/Metodologia!$B$24)+Metodologia!$B$20*(O19/Metodologia!$B$25)+Metodologia!$B$21*(I19/Metodologia!$B$26)),2)</x:f>
        <x:v>53.95</x:v>
      </x:c>
      <x:c r="H19" s="82" t="n">
        <x:f>IF(R19&lt;&gt;"Rankeado","",COUNTIFS($R$5:$R$255,"Rankeado",$G$5:$G$255,"&gt;"&amp;G19)+COUNTIFS($R$5:R19,"Rankeado",$G$5:G19,G19))</x:f>
        <x:v>104</x:v>
      </x:c>
      <x:c r="I19" s="82" t="n">
        <x:f>SUM(J19:O19)</x:f>
        <x:v>395</x:v>
      </x:c>
      <x:c r="J19" s="82" t="n">
        <x:v>65</x:v>
      </x:c>
      <x:c r="K19" s="82" t="n">
        <x:v>90</x:v>
      </x:c>
      <x:c r="L19" s="82" t="n">
        <x:v>40</x:v>
      </x:c>
      <x:c r="M19" s="82" t="n">
        <x:v>45</x:v>
      </x:c>
      <x:c r="N19" s="82" t="n">
        <x:v>80</x:v>
      </x:c>
      <x:c r="O19" s="82" t="n">
        <x:v>75</x:v>
      </x:c>
      <x:c r="P19" s="82" t="str">
        <x:v>Sim</x:v>
      </x:c>
      <x:c r="Q19" s="82" t="str">
        <x:v>Não</x:v>
      </x:c>
      <x:c r="R19" s="82" t="str">
        <x:v>Rankeado</x:v>
      </x:c>
      <x:c r="S19" s="82" t="str">
        <x:v>https://poke.idleworld.online/pokepedia/pokemon/beedrill</x:v>
      </x:c>
      <x:c r="T19" s="143" t="n">
        <x:f>MAX(K19,M19)*Metodologia!$B$16</x:f>
        <x:v>117</x:v>
      </x:c>
      <x:c r="U19" s="143" t="n">
        <x:f>MIN(K19,M19)*Metodologia!$B$16</x:f>
        <x:v>58.5</x:v>
      </x:c>
      <x:c r="V19" s="144" t="n">
        <x:f>SQRT(J19*AVERAGE(L19,N19)*Metodologia!$B$16)</x:f>
        <x:v>71.20393247567159</x:v>
      </x:c>
    </x:row>
    <x:row r="20" ht="22" customHeight="1">
      <x:c r="A20" s="82" t="n">
        <x:v>16</x:v>
      </x:c>
      <x:c r="B20" s="82" t="str">
        <x:v>Pidgey</x:v>
      </x:c>
      <x:c r="C20" s="82" t="str">
        <x:v>Normal / Voador</x:v>
      </x:c>
      <x:c r="D20" s="82" t="str">
        <x:v>Gardestrike / Wingeon</x:v>
      </x:c>
      <x:c r="E20" s="82" t="n">
        <x:v>2</x:v>
      </x:c>
      <x:c r="F20" s="82" t="str">
        <x:f>IF(G20&gt;=80,"S+",IF(G20&gt;=72,"S",IF(G20&gt;=65,"A",IF(G20&gt;=58,"B",IF(G20&gt;=50,"C",IF(G20&gt;=42,"D","E"))))))</x:f>
        <x:v>E</x:v>
      </x:c>
      <x:c r="G20" s="142" t="n">
        <x:f>ROUND(100*(Metodologia!$B$17*(T20/Metodologia!$B$22)+Metodologia!$B$18*(U20/Metodologia!$B$23)+Metodologia!$B$19*(V20/Metodologia!$B$24)+Metodologia!$B$20*(O20/Metodologia!$B$25)+Metodologia!$B$21*(I20/Metodologia!$B$26)),2)</x:f>
        <x:v>30.57</x:v>
      </x:c>
      <x:c r="H20" s="82" t="n">
        <x:f>IF(R20&lt;&gt;"Rankeado","",COUNTIFS($R$5:$R$255,"Rankeado",$G$5:$G$255,"&gt;"&amp;G20)+COUNTIFS($R$5:R20,"Rankeado",$G$5:G20,G20))</x:f>
        <x:v>219</x:v>
      </x:c>
      <x:c r="I20" s="82" t="n">
        <x:f>SUM(J20:O20)</x:f>
        <x:v>251</x:v>
      </x:c>
      <x:c r="J20" s="82" t="n">
        <x:v>40</x:v>
      </x:c>
      <x:c r="K20" s="82" t="n">
        <x:v>45</x:v>
      </x:c>
      <x:c r="L20" s="82" t="n">
        <x:v>40</x:v>
      </x:c>
      <x:c r="M20" s="82" t="n">
        <x:v>35</x:v>
      </x:c>
      <x:c r="N20" s="82" t="n">
        <x:v>35</x:v>
      </x:c>
      <x:c r="O20" s="82" t="n">
        <x:v>56</x:v>
      </x:c>
      <x:c r="P20" s="82" t="str">
        <x:v>Sim</x:v>
      </x:c>
      <x:c r="Q20" s="82" t="str">
        <x:v>Não</x:v>
      </x:c>
      <x:c r="R20" s="82" t="str">
        <x:v>Rankeado</x:v>
      </x:c>
      <x:c r="S20" s="82" t="str">
        <x:v>https://poke.idleworld.online/pokepedia/pokemon/pidgey</x:v>
      </x:c>
      <x:c r="T20" s="143" t="n">
        <x:f>MAX(K20,M20)*Metodologia!$B$16</x:f>
        <x:v>58.5</x:v>
      </x:c>
      <x:c r="U20" s="143" t="n">
        <x:f>MIN(K20,M20)*Metodologia!$B$16</x:f>
        <x:v>45.5</x:v>
      </x:c>
      <x:c r="V20" s="144" t="n">
        <x:f>SQRT(J20*AVERAGE(L20,N20)*Metodologia!$B$16)</x:f>
        <x:v>44.15880433163923</x:v>
      </x:c>
    </x:row>
    <x:row r="21" ht="22" customHeight="1">
      <x:c r="A21" s="82" t="n">
        <x:v>17</x:v>
      </x:c>
      <x:c r="B21" s="82" t="str">
        <x:v>Pidgeotto</x:v>
      </x:c>
      <x:c r="C21" s="82" t="str">
        <x:v>Normal / Voador</x:v>
      </x:c>
      <x:c r="D21" s="82" t="str">
        <x:v>Gardestrike / Wingeon</x:v>
      </x:c>
      <x:c r="E21" s="82" t="n">
        <x:v>2</x:v>
      </x:c>
      <x:c r="F21" s="82" t="str">
        <x:f>IF(G21&gt;=80,"S+",IF(G21&gt;=72,"S",IF(G21&gt;=65,"A",IF(G21&gt;=58,"B",IF(G21&gt;=50,"C",IF(G21&gt;=42,"D","E"))))))</x:f>
        <x:v>E</x:v>
      </x:c>
      <x:c r="G21" s="142" t="n">
        <x:f>ROUND(100*(Metodologia!$B$17*(T21/Metodologia!$B$22)+Metodologia!$B$18*(U21/Metodologia!$B$23)+Metodologia!$B$19*(V21/Metodologia!$B$24)+Metodologia!$B$20*(O21/Metodologia!$B$25)+Metodologia!$B$21*(I21/Metodologia!$B$26)),2)</x:f>
        <x:v>41.57</x:v>
      </x:c>
      <x:c r="H21" s="82" t="n">
        <x:f>IF(R21&lt;&gt;"Rankeado","",COUNTIFS($R$5:$R$255,"Rankeado",$G$5:$G$255,"&gt;"&amp;G21)+COUNTIFS($R$5:R21,"Rankeado",$G$5:G21,G21))</x:f>
        <x:v>171</x:v>
      </x:c>
      <x:c r="I21" s="82" t="n">
        <x:f>SUM(J21:O21)</x:f>
        <x:v>349</x:v>
      </x:c>
      <x:c r="J21" s="82" t="n">
        <x:v>63</x:v>
      </x:c>
      <x:c r="K21" s="82" t="n">
        <x:v>60</x:v>
      </x:c>
      <x:c r="L21" s="82" t="n">
        <x:v>55</x:v>
      </x:c>
      <x:c r="M21" s="82" t="n">
        <x:v>50</x:v>
      </x:c>
      <x:c r="N21" s="82" t="n">
        <x:v>50</x:v>
      </x:c>
      <x:c r="O21" s="82" t="n">
        <x:v>71</x:v>
      </x:c>
      <x:c r="P21" s="82" t="str">
        <x:v>Sim</x:v>
      </x:c>
      <x:c r="Q21" s="82" t="str">
        <x:v>Não</x:v>
      </x:c>
      <x:c r="R21" s="82" t="str">
        <x:v>Rankeado</x:v>
      </x:c>
      <x:c r="S21" s="82" t="str">
        <x:v>https://poke.idleworld.online/pokepedia/pokemon/pidgeotto</x:v>
      </x:c>
      <x:c r="T21" s="143" t="n">
        <x:f>MAX(K21,M21)*Metodologia!$B$16</x:f>
        <x:v>78</x:v>
      </x:c>
      <x:c r="U21" s="143" t="n">
        <x:f>MIN(K21,M21)*Metodologia!$B$16</x:f>
        <x:v>65</x:v>
      </x:c>
      <x:c r="V21" s="144" t="n">
        <x:f>SQRT(J21*AVERAGE(L21,N21)*Metodologia!$B$16)</x:f>
        <x:v>65.57247898318317</x:v>
      </x:c>
    </x:row>
    <x:row r="22" ht="22" customHeight="1">
      <x:c r="A22" s="82" t="n">
        <x:v>18</x:v>
      </x:c>
      <x:c r="B22" s="82" t="str">
        <x:v>Pidgeot</x:v>
      </x:c>
      <x:c r="C22" s="82" t="str">
        <x:v>Normal / Voador</x:v>
      </x:c>
      <x:c r="D22" s="82" t="str">
        <x:v>Gardestrike / Wingeon</x:v>
      </x:c>
      <x:c r="E22" s="82" t="n">
        <x:v>2</x:v>
      </x:c>
      <x:c r="F22" s="82" t="str">
        <x:f>IF(G22&gt;=80,"S+",IF(G22&gt;=72,"S",IF(G22&gt;=65,"A",IF(G22&gt;=58,"B",IF(G22&gt;=50,"C",IF(G22&gt;=42,"D","E"))))))</x:f>
        <x:v>C</x:v>
      </x:c>
      <x:c r="G22" s="142" t="n">
        <x:f>ROUND(100*(Metodologia!$B$17*(T22/Metodologia!$B$22)+Metodologia!$B$18*(U22/Metodologia!$B$23)+Metodologia!$B$19*(V22/Metodologia!$B$24)+Metodologia!$B$20*(O22/Metodologia!$B$25)+Metodologia!$B$21*(I22/Metodologia!$B$26)),2)</x:f>
        <x:v>56.35</x:v>
      </x:c>
      <x:c r="H22" s="82" t="n">
        <x:f>IF(R22&lt;&gt;"Rankeado","",COUNTIFS($R$5:$R$255,"Rankeado",$G$5:$G$255,"&gt;"&amp;G22)+COUNTIFS($R$5:R22,"Rankeado",$G$5:G22,G22))</x:f>
        <x:v>89</x:v>
      </x:c>
      <x:c r="I22" s="82" t="n">
        <x:f>SUM(J22:O22)</x:f>
        <x:v>479</x:v>
      </x:c>
      <x:c r="J22" s="82" t="n">
        <x:v>83</x:v>
      </x:c>
      <x:c r="K22" s="82" t="n">
        <x:v>80</x:v>
      </x:c>
      <x:c r="L22" s="82" t="n">
        <x:v>75</x:v>
      </x:c>
      <x:c r="M22" s="82" t="n">
        <x:v>70</x:v>
      </x:c>
      <x:c r="N22" s="82" t="n">
        <x:v>70</x:v>
      </x:c>
      <x:c r="O22" s="82" t="n">
        <x:v>101</x:v>
      </x:c>
      <x:c r="P22" s="82" t="str">
        <x:v>Sim</x:v>
      </x:c>
      <x:c r="Q22" s="82" t="str">
        <x:v>Não</x:v>
      </x:c>
      <x:c r="R22" s="82" t="str">
        <x:v>Rankeado</x:v>
      </x:c>
      <x:c r="S22" s="82" t="str">
        <x:v>https://poke.idleworld.online/pokepedia/pokemon/pidgeot</x:v>
      </x:c>
      <x:c r="T22" s="143" t="n">
        <x:f>MAX(K22,M22)*Metodologia!$B$16</x:f>
        <x:v>104</x:v>
      </x:c>
      <x:c r="U22" s="143" t="n">
        <x:f>MIN(K22,M22)*Metodologia!$B$16</x:f>
        <x:v>91</x:v>
      </x:c>
      <x:c r="V22" s="144" t="n">
        <x:f>SQRT(J22*AVERAGE(L22,N22)*Metodologia!$B$16)</x:f>
        <x:v>88.44631139849756</x:v>
      </x:c>
    </x:row>
    <x:row r="23" ht="22" customHeight="1">
      <x:c r="A23" s="82" t="n">
        <x:v>19</x:v>
      </x:c>
      <x:c r="B23" s="82" t="str">
        <x:v>Rattata</x:v>
      </x:c>
      <x:c r="C23" s="82" t="str">
        <x:v>Normal</x:v>
      </x:c>
      <x:c r="D23" s="82" t="str">
        <x:v>Gardestrike</x:v>
      </x:c>
      <x:c r="E23" s="82" t="n">
        <x:v>1</x:v>
      </x:c>
      <x:c r="F23" s="82" t="str">
        <x:f>IF(G23&gt;=80,"S+",IF(G23&gt;=72,"S",IF(G23&gt;=65,"A",IF(G23&gt;=58,"B",IF(G23&gt;=50,"C",IF(G23&gt;=42,"D","E"))))))</x:f>
        <x:v>E</x:v>
      </x:c>
      <x:c r="G23" s="142" t="n">
        <x:f>ROUND(100*(Metodologia!$B$17*(T23/Metodologia!$B$22)+Metodologia!$B$18*(U23/Metodologia!$B$23)+Metodologia!$B$19*(V23/Metodologia!$B$24)+Metodologia!$B$20*(O23/Metodologia!$B$25)+Metodologia!$B$21*(I23/Metodologia!$B$26)),2)</x:f>
        <x:v>34.33</x:v>
      </x:c>
      <x:c r="H23" s="82" t="n">
        <x:f>IF(R23&lt;&gt;"Rankeado","",COUNTIFS($R$5:$R$255,"Rankeado",$G$5:$G$255,"&gt;"&amp;G23)+COUNTIFS($R$5:R23,"Rankeado",$G$5:G23,G23))</x:f>
        <x:v>211</x:v>
      </x:c>
      <x:c r="I23" s="82" t="n">
        <x:f>SUM(J23:O23)</x:f>
        <x:v>253</x:v>
      </x:c>
      <x:c r="J23" s="82" t="n">
        <x:v>30</x:v>
      </x:c>
      <x:c r="K23" s="82" t="n">
        <x:v>56</x:v>
      </x:c>
      <x:c r="L23" s="82" t="n">
        <x:v>35</x:v>
      </x:c>
      <x:c r="M23" s="82" t="n">
        <x:v>25</x:v>
      </x:c>
      <x:c r="N23" s="82" t="n">
        <x:v>35</x:v>
      </x:c>
      <x:c r="O23" s="82" t="n">
        <x:v>72</x:v>
      </x:c>
      <x:c r="P23" s="82" t="str">
        <x:v>Sim</x:v>
      </x:c>
      <x:c r="Q23" s="82" t="str">
        <x:v>Não</x:v>
      </x:c>
      <x:c r="R23" s="82" t="str">
        <x:v>Rankeado</x:v>
      </x:c>
      <x:c r="S23" s="82" t="str">
        <x:v>https://poke.idleworld.online/pokepedia/pokemon/rattata</x:v>
      </x:c>
      <x:c r="T23" s="143" t="n">
        <x:f>MAX(K23,M23)*Metodologia!$B$16</x:f>
        <x:v>72.8</x:v>
      </x:c>
      <x:c r="U23" s="143" t="n">
        <x:f>MIN(K23,M23)*Metodologia!$B$16</x:f>
        <x:v>32.5</x:v>
      </x:c>
      <x:c r="V23" s="144" t="n">
        <x:f>SQRT(J23*AVERAGE(L23,N23)*Metodologia!$B$16)</x:f>
        <x:v>36.945906403822335</x:v>
      </x:c>
    </x:row>
    <x:row r="24" ht="22" customHeight="1">
      <x:c r="A24" s="82" t="n">
        <x:v>20</x:v>
      </x:c>
      <x:c r="B24" s="82" t="str">
        <x:v>Raticate</x:v>
      </x:c>
      <x:c r="C24" s="82" t="str">
        <x:v>Normal</x:v>
      </x:c>
      <x:c r="D24" s="82" t="str">
        <x:v>Gardestrike</x:v>
      </x:c>
      <x:c r="E24" s="82" t="n">
        <x:v>1</x:v>
      </x:c>
      <x:c r="F24" s="82" t="str">
        <x:f>IF(G24&gt;=80,"S+",IF(G24&gt;=72,"S",IF(G24&gt;=65,"A",IF(G24&gt;=58,"B",IF(G24&gt;=50,"C",IF(G24&gt;=42,"D","E"))))))</x:f>
        <x:v>C</x:v>
      </x:c>
      <x:c r="G24" s="142" t="n">
        <x:f>ROUND(100*(Metodologia!$B$17*(T24/Metodologia!$B$22)+Metodologia!$B$18*(U24/Metodologia!$B$23)+Metodologia!$B$19*(V24/Metodologia!$B$24)+Metodologia!$B$20*(O24/Metodologia!$B$25)+Metodologia!$B$21*(I24/Metodologia!$B$26)),2)</x:f>
        <x:v>52.2</x:v>
      </x:c>
      <x:c r="H24" s="82" t="n">
        <x:f>IF(R24&lt;&gt;"Rankeado","",COUNTIFS($R$5:$R$255,"Rankeado",$G$5:$G$255,"&gt;"&amp;G24)+COUNTIFS($R$5:R24,"Rankeado",$G$5:G24,G24))</x:f>
        <x:v>119</x:v>
      </x:c>
      <x:c r="I24" s="82" t="n">
        <x:f>SUM(J24:O24)</x:f>
        <x:v>413</x:v>
      </x:c>
      <x:c r="J24" s="82" t="n">
        <x:v>55</x:v>
      </x:c>
      <x:c r="K24" s="82" t="n">
        <x:v>81</x:v>
      </x:c>
      <x:c r="L24" s="82" t="n">
        <x:v>60</x:v>
      </x:c>
      <x:c r="M24" s="82" t="n">
        <x:v>50</x:v>
      </x:c>
      <x:c r="N24" s="82" t="n">
        <x:v>70</x:v>
      </x:c>
      <x:c r="O24" s="82" t="n">
        <x:v>97</x:v>
      </x:c>
      <x:c r="P24" s="82" t="str">
        <x:v>Sim</x:v>
      </x:c>
      <x:c r="Q24" s="82" t="str">
        <x:v>Não</x:v>
      </x:c>
      <x:c r="R24" s="82" t="str">
        <x:v>Rankeado</x:v>
      </x:c>
      <x:c r="S24" s="82" t="str">
        <x:v>https://poke.idleworld.online/pokepedia/pokemon/raticate</x:v>
      </x:c>
      <x:c r="T24" s="143" t="n">
        <x:f>MAX(K24,M24)*Metodologia!$B$16</x:f>
        <x:v>105.3</x:v>
      </x:c>
      <x:c r="U24" s="143" t="n">
        <x:f>MIN(K24,M24)*Metodologia!$B$16</x:f>
        <x:v>65</x:v>
      </x:c>
      <x:c r="V24" s="144" t="n">
        <x:f>SQRT(J24*AVERAGE(L24,N24)*Metodologia!$B$16)</x:f>
        <x:v>68.17257513105984</x:v>
      </x:c>
    </x:row>
    <x:row r="25" ht="22" customHeight="1">
      <x:c r="A25" s="82" t="n">
        <x:v>21</x:v>
      </x:c>
      <x:c r="B25" s="82" t="str">
        <x:v>Spearow</x:v>
      </x:c>
      <x:c r="C25" s="82" t="str">
        <x:v>Normal / Voador</x:v>
      </x:c>
      <x:c r="D25" s="82" t="str">
        <x:v>Gardestrike / Wingeon</x:v>
      </x:c>
      <x:c r="E25" s="82" t="n">
        <x:v>2</x:v>
      </x:c>
      <x:c r="F25" s="82" t="str">
        <x:f>IF(G25&gt;=80,"S+",IF(G25&gt;=72,"S",IF(G25&gt;=65,"A",IF(G25&gt;=58,"B",IF(G25&gt;=50,"C",IF(G25&gt;=42,"D","E"))))))</x:f>
        <x:v>E</x:v>
      </x:c>
      <x:c r="G25" s="142" t="n">
        <x:f>ROUND(100*(Metodologia!$B$17*(T25/Metodologia!$B$22)+Metodologia!$B$18*(U25/Metodologia!$B$23)+Metodologia!$B$19*(V25/Metodologia!$B$24)+Metodologia!$B$20*(O25/Metodologia!$B$25)+Metodologia!$B$21*(I25/Metodologia!$B$26)),2)</x:f>
        <x:v>36.64</x:v>
      </x:c>
      <x:c r="H25" s="82" t="n">
        <x:f>IF(R25&lt;&gt;"Rankeado","",COUNTIFS($R$5:$R$255,"Rankeado",$G$5:$G$255,"&gt;"&amp;G25)+COUNTIFS($R$5:R25,"Rankeado",$G$5:G25,G25))</x:f>
        <x:v>197</x:v>
      </x:c>
      <x:c r="I25" s="82" t="n">
        <x:f>SUM(J25:O25)</x:f>
        <x:v>262</x:v>
      </x:c>
      <x:c r="J25" s="82" t="n">
        <x:v>40</x:v>
      </x:c>
      <x:c r="K25" s="82" t="n">
        <x:v>60</x:v>
      </x:c>
      <x:c r="L25" s="82" t="n">
        <x:v>30</x:v>
      </x:c>
      <x:c r="M25" s="82" t="n">
        <x:v>31</x:v>
      </x:c>
      <x:c r="N25" s="82" t="n">
        <x:v>31</x:v>
      </x:c>
      <x:c r="O25" s="82" t="n">
        <x:v>70</x:v>
      </x:c>
      <x:c r="P25" s="82" t="str">
        <x:v>Sim</x:v>
      </x:c>
      <x:c r="Q25" s="82" t="str">
        <x:v>Não</x:v>
      </x:c>
      <x:c r="R25" s="82" t="str">
        <x:v>Rankeado</x:v>
      </x:c>
      <x:c r="S25" s="82" t="str">
        <x:v>https://poke.idleworld.online/pokepedia/pokemon/spearow</x:v>
      </x:c>
      <x:c r="T25" s="143" t="n">
        <x:f>MAX(K25,M25)*Metodologia!$B$16</x:f>
        <x:v>78</x:v>
      </x:c>
      <x:c r="U25" s="143" t="n">
        <x:f>MIN(K25,M25)*Metodologia!$B$16</x:f>
        <x:v>40.300000000000004</x:v>
      </x:c>
      <x:c r="V25" s="144" t="n">
        <x:f>SQRT(J25*AVERAGE(L25,N25)*Metodologia!$B$16)</x:f>
        <x:v>39.824615503479755</x:v>
      </x:c>
    </x:row>
    <x:row r="26" ht="22" customHeight="1">
      <x:c r="A26" s="82" t="n">
        <x:v>22</x:v>
      </x:c>
      <x:c r="B26" s="82" t="str">
        <x:v>Fearow</x:v>
      </x:c>
      <x:c r="C26" s="82" t="str">
        <x:v>Normal / Voador</x:v>
      </x:c>
      <x:c r="D26" s="82" t="str">
        <x:v>Gardestrike / Wingeon</x:v>
      </x:c>
      <x:c r="E26" s="82" t="n">
        <x:v>2</x:v>
      </x:c>
      <x:c r="F26" s="82" t="str">
        <x:f>IF(G26&gt;=80,"S+",IF(G26&gt;=72,"S",IF(G26&gt;=65,"A",IF(G26&gt;=58,"B",IF(G26&gt;=50,"C",IF(G26&gt;=42,"D","E"))))))</x:f>
        <x:v>C</x:v>
      </x:c>
      <x:c r="G26" s="142" t="n">
        <x:f>ROUND(100*(Metodologia!$B$17*(T26/Metodologia!$B$22)+Metodologia!$B$18*(U26/Metodologia!$B$23)+Metodologia!$B$19*(V26/Metodologia!$B$24)+Metodologia!$B$20*(O26/Metodologia!$B$25)+Metodologia!$B$21*(I26/Metodologia!$B$26)),2)</x:f>
        <x:v>57.59</x:v>
      </x:c>
      <x:c r="H26" s="82" t="n">
        <x:f>IF(R26&lt;&gt;"Rankeado","",COUNTIFS($R$5:$R$255,"Rankeado",$G$5:$G$255,"&gt;"&amp;G26)+COUNTIFS($R$5:R26,"Rankeado",$G$5:G26,G26))</x:f>
        <x:v>85</x:v>
      </x:c>
      <x:c r="I26" s="82" t="n">
        <x:f>SUM(J26:O26)</x:f>
        <x:v>442</x:v>
      </x:c>
      <x:c r="J26" s="82" t="n">
        <x:v>65</x:v>
      </x:c>
      <x:c r="K26" s="82" t="n">
        <x:v>90</x:v>
      </x:c>
      <x:c r="L26" s="82" t="n">
        <x:v>65</x:v>
      </x:c>
      <x:c r="M26" s="82" t="n">
        <x:v>61</x:v>
      </x:c>
      <x:c r="N26" s="82" t="n">
        <x:v>61</x:v>
      </x:c>
      <x:c r="O26" s="82" t="n">
        <x:v>100</x:v>
      </x:c>
      <x:c r="P26" s="82" t="str">
        <x:v>Sim</x:v>
      </x:c>
      <x:c r="Q26" s="82" t="str">
        <x:v>Não</x:v>
      </x:c>
      <x:c r="R26" s="82" t="str">
        <x:v>Rankeado</x:v>
      </x:c>
      <x:c r="S26" s="82" t="str">
        <x:v>https://poke.idleworld.online/pokepedia/pokemon/fearow</x:v>
      </x:c>
      <x:c r="T26" s="143" t="n">
        <x:f>MAX(K26,M26)*Metodologia!$B$16</x:f>
        <x:v>117</x:v>
      </x:c>
      <x:c r="U26" s="143" t="n">
        <x:f>MIN(K26,M26)*Metodologia!$B$16</x:f>
        <x:v>79.3</x:v>
      </x:c>
      <x:c r="V26" s="144" t="n">
        <x:f>SQRT(J26*AVERAGE(L26,N26)*Metodologia!$B$16)</x:f>
        <x:v>72.96231904209186</x:v>
      </x:c>
    </x:row>
    <x:row r="27" ht="22" customHeight="1">
      <x:c r="A27" s="82" t="n">
        <x:v>23</x:v>
      </x:c>
      <x:c r="B27" s="82" t="str">
        <x:v>Ekans</x:v>
      </x:c>
      <x:c r="C27" s="82" t="str">
        <x:v>Veneno</x:v>
      </x:c>
      <x:c r="D27" s="82" t="str">
        <x:v>Malefic</x:v>
      </x:c>
      <x:c r="E27" s="82" t="n">
        <x:v>1</x:v>
      </x:c>
      <x:c r="F27" s="82" t="str">
        <x:f>IF(G27&gt;=80,"S+",IF(G27&gt;=72,"S",IF(G27&gt;=65,"A",IF(G27&gt;=58,"B",IF(G27&gt;=50,"C",IF(G27&gt;=42,"D","E"))))))</x:f>
        <x:v>E</x:v>
      </x:c>
      <x:c r="G27" s="142" t="n">
        <x:f>ROUND(100*(Metodologia!$B$17*(T27/Metodologia!$B$22)+Metodologia!$B$18*(U27/Metodologia!$B$23)+Metodologia!$B$19*(V27/Metodologia!$B$24)+Metodologia!$B$20*(O27/Metodologia!$B$25)+Metodologia!$B$21*(I27/Metodologia!$B$26)),2)</x:f>
        <x:v>37.37</x:v>
      </x:c>
      <x:c r="H27" s="82" t="n">
        <x:f>IF(R27&lt;&gt;"Rankeado","",COUNTIFS($R$5:$R$255,"Rankeado",$G$5:$G$255,"&gt;"&amp;G27)+COUNTIFS($R$5:R27,"Rankeado",$G$5:G27,G27))</x:f>
        <x:v>196</x:v>
      </x:c>
      <x:c r="I27" s="82" t="n">
        <x:f>SUM(J27:O27)</x:f>
        <x:v>288</x:v>
      </x:c>
      <x:c r="J27" s="82" t="n">
        <x:v>35</x:v>
      </x:c>
      <x:c r="K27" s="82" t="n">
        <x:v>60</x:v>
      </x:c>
      <x:c r="L27" s="82" t="n">
        <x:v>44</x:v>
      </x:c>
      <x:c r="M27" s="82" t="n">
        <x:v>40</x:v>
      </x:c>
      <x:c r="N27" s="82" t="n">
        <x:v>54</x:v>
      </x:c>
      <x:c r="O27" s="82" t="n">
        <x:v>55</x:v>
      </x:c>
      <x:c r="P27" s="82" t="str">
        <x:v>Sim</x:v>
      </x:c>
      <x:c r="Q27" s="82" t="str">
        <x:v>Não</x:v>
      </x:c>
      <x:c r="R27" s="82" t="str">
        <x:v>Rankeado</x:v>
      </x:c>
      <x:c r="S27" s="82" t="str">
        <x:v>https://poke.idleworld.online/pokepedia/pokemon/ekans</x:v>
      </x:c>
      <x:c r="T27" s="143" t="n">
        <x:f>MAX(K27,M27)*Metodologia!$B$16</x:f>
        <x:v>78</x:v>
      </x:c>
      <x:c r="U27" s="143" t="n">
        <x:f>MIN(K27,M27)*Metodologia!$B$16</x:f>
        <x:v>52</x:v>
      </x:c>
      <x:c r="V27" s="144" t="n">
        <x:f>SQRT(J27*AVERAGE(L27,N27)*Metodologia!$B$16)</x:f>
        <x:v>47.217581471312144</x:v>
      </x:c>
    </x:row>
    <x:row r="28" ht="22" customHeight="1">
      <x:c r="A28" s="82" t="n">
        <x:v>24</x:v>
      </x:c>
      <x:c r="B28" s="82" t="str">
        <x:v>Arbok</x:v>
      </x:c>
      <x:c r="C28" s="82" t="str">
        <x:v>Veneno</x:v>
      </x:c>
      <x:c r="D28" s="82" t="str">
        <x:v>Malefic</x:v>
      </x:c>
      <x:c r="E28" s="82" t="n">
        <x:v>1</x:v>
      </x:c>
      <x:c r="F28" s="82" t="str">
        <x:f>IF(G28&gt;=80,"S+",IF(G28&gt;=72,"S",IF(G28&gt;=65,"A",IF(G28&gt;=58,"B",IF(G28&gt;=50,"C",IF(G28&gt;=42,"D","E"))))))</x:f>
        <x:v>B</x:v>
      </x:c>
      <x:c r="G28" s="142" t="n">
        <x:f>ROUND(100*(Metodologia!$B$17*(T28/Metodologia!$B$22)+Metodologia!$B$18*(U28/Metodologia!$B$23)+Metodologia!$B$19*(V28/Metodologia!$B$24)+Metodologia!$B$20*(O28/Metodologia!$B$25)+Metodologia!$B$21*(I28/Metodologia!$B$26)),2)</x:f>
        <x:v>58.9</x:v>
      </x:c>
      <x:c r="H28" s="82" t="n">
        <x:f>IF(R28&lt;&gt;"Rankeado","",COUNTIFS($R$5:$R$255,"Rankeado",$G$5:$G$255,"&gt;"&amp;G28)+COUNTIFS($R$5:R28,"Rankeado",$G$5:G28,G28))</x:f>
        <x:v>75</x:v>
      </x:c>
      <x:c r="I28" s="82" t="n">
        <x:f>SUM(J28:O28)</x:f>
        <x:v>448</x:v>
      </x:c>
      <x:c r="J28" s="82" t="n">
        <x:v>60</x:v>
      </x:c>
      <x:c r="K28" s="82" t="n">
        <x:v>95</x:v>
      </x:c>
      <x:c r="L28" s="82" t="n">
        <x:v>69</x:v>
      </x:c>
      <x:c r="M28" s="82" t="n">
        <x:v>65</x:v>
      </x:c>
      <x:c r="N28" s="82" t="n">
        <x:v>79</x:v>
      </x:c>
      <x:c r="O28" s="82" t="n">
        <x:v>80</x:v>
      </x:c>
      <x:c r="P28" s="82" t="str">
        <x:v>Sim</x:v>
      </x:c>
      <x:c r="Q28" s="82" t="str">
        <x:v>Não</x:v>
      </x:c>
      <x:c r="R28" s="82" t="str">
        <x:v>Rankeado</x:v>
      </x:c>
      <x:c r="S28" s="82" t="str">
        <x:v>https://poke.idleworld.online/pokepedia/pokemon/arbok</x:v>
      </x:c>
      <x:c r="T28" s="143" t="n">
        <x:f>MAX(K28,M28)*Metodologia!$B$16</x:f>
        <x:v>123.5</x:v>
      </x:c>
      <x:c r="U28" s="143" t="n">
        <x:f>MIN(K28,M28)*Metodologia!$B$16</x:f>
        <x:v>84.5</x:v>
      </x:c>
      <x:c r="V28" s="144" t="n">
        <x:f>SQRT(J28*AVERAGE(L28,N28)*Metodologia!$B$16)</x:f>
        <x:v>75.97367965289031</x:v>
      </x:c>
    </x:row>
    <x:row r="29" ht="22" customHeight="1">
      <x:c r="A29" s="82" t="n">
        <x:v>25</x:v>
      </x:c>
      <x:c r="B29" s="82" t="str">
        <x:v>Pikachu</x:v>
      </x:c>
      <x:c r="C29" s="82" t="str">
        <x:v>Elétrico</x:v>
      </x:c>
      <x:c r="D29" s="82" t="str">
        <x:v>Raibolt</x:v>
      </x:c>
      <x:c r="E29" s="82" t="n">
        <x:v>1</x:v>
      </x:c>
      <x:c r="F29" s="82" t="str">
        <x:f>IF(G29&gt;=80,"S+",IF(G29&gt;=72,"S",IF(G29&gt;=65,"A",IF(G29&gt;=58,"B",IF(G29&gt;=50,"C",IF(G29&gt;=42,"D","E"))))))</x:f>
        <x:v>E</x:v>
      </x:c>
      <x:c r="G29" s="142" t="n">
        <x:f>ROUND(100*(Metodologia!$B$17*(T29/Metodologia!$B$22)+Metodologia!$B$18*(U29/Metodologia!$B$23)+Metodologia!$B$19*(V29/Metodologia!$B$24)+Metodologia!$B$20*(O29/Metodologia!$B$25)+Metodologia!$B$21*(I29/Metodologia!$B$26)),2)</x:f>
        <x:v>38.71</x:v>
      </x:c>
      <x:c r="H29" s="82" t="n">
        <x:f>IF(R29&lt;&gt;"Rankeado","",COUNTIFS($R$5:$R$255,"Rankeado",$G$5:$G$255,"&gt;"&amp;G29)+COUNTIFS($R$5:R29,"Rankeado",$G$5:G29,G29))</x:f>
        <x:v>190</x:v>
      </x:c>
      <x:c r="I29" s="82" t="n">
        <x:f>SUM(J29:O29)</x:f>
        <x:v>320</x:v>
      </x:c>
      <x:c r="J29" s="82" t="n">
        <x:v>35</x:v>
      </x:c>
      <x:c r="K29" s="82" t="n">
        <x:v>55</x:v>
      </x:c>
      <x:c r="L29" s="82" t="n">
        <x:v>40</x:v>
      </x:c>
      <x:c r="M29" s="82" t="n">
        <x:v>50</x:v>
      </x:c>
      <x:c r="N29" s="82" t="n">
        <x:v>50</x:v>
      </x:c>
      <x:c r="O29" s="82" t="n">
        <x:v>90</x:v>
      </x:c>
      <x:c r="P29" s="82" t="str">
        <x:v>Sim</x:v>
      </x:c>
      <x:c r="Q29" s="82" t="str">
        <x:v>Não</x:v>
      </x:c>
      <x:c r="R29" s="82" t="str">
        <x:v>Rankeado</x:v>
      </x:c>
      <x:c r="S29" s="82" t="str">
        <x:v>https://poke.idleworld.online/pokepedia/pokemon/pikachu</x:v>
      </x:c>
      <x:c r="T29" s="143" t="n">
        <x:f>MAX(K29,M29)*Metodologia!$B$16</x:f>
        <x:v>71.5</x:v>
      </x:c>
      <x:c r="U29" s="143" t="n">
        <x:f>MIN(K29,M29)*Metodologia!$B$16</x:f>
        <x:v>65</x:v>
      </x:c>
      <x:c r="V29" s="144" t="n">
        <x:f>SQRT(J29*AVERAGE(L29,N29)*Metodologia!$B$16)</x:f>
        <x:v>45.249309386995066</x:v>
      </x:c>
    </x:row>
    <x:row r="30" ht="22" customHeight="1">
      <x:c r="A30" s="82" t="n">
        <x:v>26</x:v>
      </x:c>
      <x:c r="B30" s="82" t="str">
        <x:v>Raichu</x:v>
      </x:c>
      <x:c r="C30" s="82" t="str">
        <x:v>Elétrico</x:v>
      </x:c>
      <x:c r="D30" s="82" t="str">
        <x:v>Raibolt</x:v>
      </x:c>
      <x:c r="E30" s="82" t="n">
        <x:v>1</x:v>
      </x:c>
      <x:c r="F30" s="82" t="str">
        <x:f>IF(G30&gt;=80,"S+",IF(G30&gt;=72,"S",IF(G30&gt;=65,"A",IF(G30&gt;=58,"B",IF(G30&gt;=50,"C",IF(G30&gt;=42,"D","E"))))))</x:f>
        <x:v>B</x:v>
      </x:c>
      <x:c r="G30" s="142" t="n">
        <x:f>ROUND(100*(Metodologia!$B$17*(T30/Metodologia!$B$22)+Metodologia!$B$18*(U30/Metodologia!$B$23)+Metodologia!$B$19*(V30/Metodologia!$B$24)+Metodologia!$B$20*(O30/Metodologia!$B$25)+Metodologia!$B$21*(I30/Metodologia!$B$26)),2)</x:f>
        <x:v>61.17</x:v>
      </x:c>
      <x:c r="H30" s="82" t="n">
        <x:f>IF(R30&lt;&gt;"Rankeado","",COUNTIFS($R$5:$R$255,"Rankeado",$G$5:$G$255,"&gt;"&amp;G30)+COUNTIFS($R$5:R30,"Rankeado",$G$5:G30,G30))</x:f>
        <x:v>59</x:v>
      </x:c>
      <x:c r="I30" s="82" t="n">
        <x:f>SUM(J30:O30)</x:f>
        <x:v>485</x:v>
      </x:c>
      <x:c r="J30" s="82" t="n">
        <x:v>60</x:v>
      </x:c>
      <x:c r="K30" s="82" t="n">
        <x:v>90</x:v>
      </x:c>
      <x:c r="L30" s="82" t="n">
        <x:v>55</x:v>
      </x:c>
      <x:c r="M30" s="82" t="n">
        <x:v>90</x:v>
      </x:c>
      <x:c r="N30" s="82" t="n">
        <x:v>80</x:v>
      </x:c>
      <x:c r="O30" s="82" t="n">
        <x:v>110</x:v>
      </x:c>
      <x:c r="P30" s="82" t="str">
        <x:v>Sim</x:v>
      </x:c>
      <x:c r="Q30" s="82" t="str">
        <x:v>Não</x:v>
      </x:c>
      <x:c r="R30" s="82" t="str">
        <x:v>Rankeado</x:v>
      </x:c>
      <x:c r="S30" s="82" t="str">
        <x:v>https://poke.idleworld.online/pokepedia/pokemon/raichu</x:v>
      </x:c>
      <x:c r="T30" s="143" t="n">
        <x:f>MAX(K30,M30)*Metodologia!$B$16</x:f>
        <x:v>117</x:v>
      </x:c>
      <x:c r="U30" s="143" t="n">
        <x:f>MIN(K30,M30)*Metodologia!$B$16</x:f>
        <x:v>117</x:v>
      </x:c>
      <x:c r="V30" s="144" t="n">
        <x:f>SQRT(J30*AVERAGE(L30,N30)*Metodologia!$B$16)</x:f>
        <x:v>72.56031973468694</x:v>
      </x:c>
    </x:row>
    <x:row r="31" ht="22" customHeight="1">
      <x:c r="A31" s="82" t="n">
        <x:v>27</x:v>
      </x:c>
      <x:c r="B31" s="82" t="str">
        <x:v>Sandshrew</x:v>
      </x:c>
      <x:c r="C31" s="82" t="str">
        <x:v>Terra</x:v>
      </x:c>
      <x:c r="D31" s="82" t="str">
        <x:v>Orebound</x:v>
      </x:c>
      <x:c r="E31" s="82" t="n">
        <x:v>1</x:v>
      </x:c>
      <x:c r="F31" s="82" t="str">
        <x:f>IF(G31&gt;=80,"S+",IF(G31&gt;=72,"S",IF(G31&gt;=65,"A",IF(G31&gt;=58,"B",IF(G31&gt;=50,"C",IF(G31&gt;=42,"D","E"))))))</x:f>
        <x:v>E</x:v>
      </x:c>
      <x:c r="G31" s="142" t="n">
        <x:f>ROUND(100*(Metodologia!$B$17*(T31/Metodologia!$B$22)+Metodologia!$B$18*(U31/Metodologia!$B$23)+Metodologia!$B$19*(V31/Metodologia!$B$24)+Metodologia!$B$20*(O31/Metodologia!$B$25)+Metodologia!$B$21*(I31/Metodologia!$B$26)),2)</x:f>
        <x:v>41.83</x:v>
      </x:c>
      <x:c r="H31" s="82" t="n">
        <x:f>IF(R31&lt;&gt;"Rankeado","",COUNTIFS($R$5:$R$255,"Rankeado",$G$5:$G$255,"&gt;"&amp;G31)+COUNTIFS($R$5:R31,"Rankeado",$G$5:G31,G31))</x:f>
        <x:v>169</x:v>
      </x:c>
      <x:c r="I31" s="82" t="n">
        <x:f>SUM(J31:O31)</x:f>
        <x:v>300</x:v>
      </x:c>
      <x:c r="J31" s="82" t="n">
        <x:v>50</x:v>
      </x:c>
      <x:c r="K31" s="82" t="n">
        <x:v>75</x:v>
      </x:c>
      <x:c r="L31" s="82" t="n">
        <x:v>85</x:v>
      </x:c>
      <x:c r="M31" s="82" t="n">
        <x:v>20</x:v>
      </x:c>
      <x:c r="N31" s="82" t="n">
        <x:v>30</x:v>
      </x:c>
      <x:c r="O31" s="82" t="n">
        <x:v>40</x:v>
      </x:c>
      <x:c r="P31" s="82" t="str">
        <x:v>Sim</x:v>
      </x:c>
      <x:c r="Q31" s="82" t="str">
        <x:v>Não</x:v>
      </x:c>
      <x:c r="R31" s="82" t="str">
        <x:v>Rankeado</x:v>
      </x:c>
      <x:c r="S31" s="82" t="str">
        <x:v>https://poke.idleworld.online/pokepedia/pokemon/sandshrew</x:v>
      </x:c>
      <x:c r="T31" s="143" t="n">
        <x:f>MAX(K31,M31)*Metodologia!$B$16</x:f>
        <x:v>97.5</x:v>
      </x:c>
      <x:c r="U31" s="143" t="n">
        <x:f>MIN(K31,M31)*Metodologia!$B$16</x:f>
        <x:v>26</x:v>
      </x:c>
      <x:c r="V31" s="144" t="n">
        <x:f>SQRT(J31*AVERAGE(L31,N31)*Metodologia!$B$16)</x:f>
        <x:v>61.13509630318742</x:v>
      </x:c>
    </x:row>
    <x:row r="32" ht="22" customHeight="1">
      <x:c r="A32" s="82" t="n">
        <x:v>28</x:v>
      </x:c>
      <x:c r="B32" s="82" t="str">
        <x:v>Sandslash</x:v>
      </x:c>
      <x:c r="C32" s="82" t="str">
        <x:v>Terra</x:v>
      </x:c>
      <x:c r="D32" s="82" t="str">
        <x:v>Orebound</x:v>
      </x:c>
      <x:c r="E32" s="82" t="n">
        <x:v>1</x:v>
      </x:c>
      <x:c r="F32" s="82" t="str">
        <x:f>IF(G32&gt;=80,"S+",IF(G32&gt;=72,"S",IF(G32&gt;=65,"A",IF(G32&gt;=58,"B",IF(G32&gt;=50,"C",IF(G32&gt;=42,"D","E"))))))</x:f>
        <x:v>B</x:v>
      </x:c>
      <x:c r="G32" s="142" t="n">
        <x:f>ROUND(100*(Metodologia!$B$17*(T32/Metodologia!$B$22)+Metodologia!$B$18*(U32/Metodologia!$B$23)+Metodologia!$B$19*(V32/Metodologia!$B$24)+Metodologia!$B$20*(O32/Metodologia!$B$25)+Metodologia!$B$21*(I32/Metodologia!$B$26)),2)</x:f>
        <x:v>59.37</x:v>
      </x:c>
      <x:c r="H32" s="82" t="n">
        <x:f>IF(R32&lt;&gt;"Rankeado","",COUNTIFS($R$5:$R$255,"Rankeado",$G$5:$G$255,"&gt;"&amp;G32)+COUNTIFS($R$5:R32,"Rankeado",$G$5:G32,G32))</x:f>
        <x:v>71</x:v>
      </x:c>
      <x:c r="I32" s="82" t="n">
        <x:f>SUM(J32:O32)</x:f>
        <x:v>450</x:v>
      </x:c>
      <x:c r="J32" s="82" t="n">
        <x:v>75</x:v>
      </x:c>
      <x:c r="K32" s="82" t="n">
        <x:v>100</x:v>
      </x:c>
      <x:c r="L32" s="82" t="n">
        <x:v>110</x:v>
      </x:c>
      <x:c r="M32" s="82" t="n">
        <x:v>45</x:v>
      </x:c>
      <x:c r="N32" s="82" t="n">
        <x:v>55</x:v>
      </x:c>
      <x:c r="O32" s="82" t="n">
        <x:v>65</x:v>
      </x:c>
      <x:c r="P32" s="82" t="str">
        <x:v>Sim</x:v>
      </x:c>
      <x:c r="Q32" s="82" t="str">
        <x:v>Não</x:v>
      </x:c>
      <x:c r="R32" s="82" t="str">
        <x:v>Rankeado</x:v>
      </x:c>
      <x:c r="S32" s="82" t="str">
        <x:v>https://poke.idleworld.online/pokepedia/pokemon/sandslash</x:v>
      </x:c>
      <x:c r="T32" s="143" t="n">
        <x:f>MAX(K32,M32)*Metodologia!$B$16</x:f>
        <x:v>130</x:v>
      </x:c>
      <x:c r="U32" s="143" t="n">
        <x:f>MIN(K32,M32)*Metodologia!$B$16</x:f>
        <x:v>58.5</x:v>
      </x:c>
      <x:c r="V32" s="144" t="n">
        <x:f>SQRT(J32*AVERAGE(L32,N32)*Metodologia!$B$16)</x:f>
        <x:v>89.68695557326049</x:v>
      </x:c>
    </x:row>
    <x:row r="33" ht="22" customHeight="1">
      <x:c r="A33" s="82" t="n">
        <x:v>29</x:v>
      </x:c>
      <x:c r="B33" s="82" t="str">
        <x:v>Nidoran♀</x:v>
      </x:c>
      <x:c r="C33" s="82" t="str">
        <x:v>Veneno</x:v>
      </x:c>
      <x:c r="D33" s="82" t="str">
        <x:v>Malefic</x:v>
      </x:c>
      <x:c r="E33" s="82" t="n">
        <x:v>1</x:v>
      </x:c>
      <x:c r="F33" s="82" t="str">
        <x:f>IF(G33&gt;=80,"S+",IF(G33&gt;=72,"S",IF(G33&gt;=65,"A",IF(G33&gt;=58,"B",IF(G33&gt;=50,"C",IF(G33&gt;=42,"D","E"))))))</x:f>
        <x:v>E</x:v>
      </x:c>
      <x:c r="G33" s="142" t="n">
        <x:f>ROUND(100*(Metodologia!$B$17*(T33/Metodologia!$B$22)+Metodologia!$B$18*(U33/Metodologia!$B$23)+Metodologia!$B$19*(V33/Metodologia!$B$24)+Metodologia!$B$20*(O33/Metodologia!$B$25)+Metodologia!$B$21*(I33/Metodologia!$B$26)),2)</x:f>
        <x:v>32.25</x:v>
      </x:c>
      <x:c r="H33" s="82" t="n">
        <x:f>IF(R33&lt;&gt;"Rankeado","",COUNTIFS($R$5:$R$255,"Rankeado",$G$5:$G$255,"&gt;"&amp;G33)+COUNTIFS($R$5:R33,"Rankeado",$G$5:G33,G33))</x:f>
        <x:v>217</x:v>
      </x:c>
      <x:c r="I33" s="82" t="n">
        <x:f>SUM(J33:O33)</x:f>
        <x:v>275</x:v>
      </x:c>
      <x:c r="J33" s="82" t="n">
        <x:v>55</x:v>
      </x:c>
      <x:c r="K33" s="82" t="n">
        <x:v>47</x:v>
      </x:c>
      <x:c r="L33" s="82" t="n">
        <x:v>52</x:v>
      </x:c>
      <x:c r="M33" s="82" t="n">
        <x:v>40</x:v>
      </x:c>
      <x:c r="N33" s="82" t="n">
        <x:v>40</x:v>
      </x:c>
      <x:c r="O33" s="82" t="n">
        <x:v>41</x:v>
      </x:c>
      <x:c r="P33" s="82" t="str">
        <x:v>Sim</x:v>
      </x:c>
      <x:c r="Q33" s="82" t="str">
        <x:v>Não</x:v>
      </x:c>
      <x:c r="R33" s="82" t="str">
        <x:v>Rankeado</x:v>
      </x:c>
      <x:c r="S33" s="82" t="str">
        <x:v>https://poke.idleworld.online/pokepedia/pokemon/nidoran-f</x:v>
      </x:c>
      <x:c r="T33" s="143" t="n">
        <x:f>MAX(K33,M33)*Metodologia!$B$16</x:f>
        <x:v>61.1</x:v>
      </x:c>
      <x:c r="U33" s="143" t="n">
        <x:f>MIN(K33,M33)*Metodologia!$B$16</x:f>
        <x:v>52</x:v>
      </x:c>
      <x:c r="V33" s="144" t="n">
        <x:f>SQRT(J33*AVERAGE(L33,N33)*Metodologia!$B$16)</x:f>
        <x:v>57.34980383575867</x:v>
      </x:c>
    </x:row>
    <x:row r="34" ht="22" customHeight="1">
      <x:c r="A34" s="82" t="n">
        <x:v>30</x:v>
      </x:c>
      <x:c r="B34" s="82" t="str">
        <x:v>Nidorina</x:v>
      </x:c>
      <x:c r="C34" s="82" t="str">
        <x:v>Veneno</x:v>
      </x:c>
      <x:c r="D34" s="82" t="str">
        <x:v>Malefic</x:v>
      </x:c>
      <x:c r="E34" s="82" t="n">
        <x:v>1</x:v>
      </x:c>
      <x:c r="F34" s="82" t="str">
        <x:f>IF(G34&gt;=80,"S+",IF(G34&gt;=72,"S",IF(G34&gt;=65,"A",IF(G34&gt;=58,"B",IF(G34&gt;=50,"C",IF(G34&gt;=42,"D","E"))))))</x:f>
        <x:v>D</x:v>
      </x:c>
      <x:c r="G34" s="142" t="n">
        <x:f>ROUND(100*(Metodologia!$B$17*(T34/Metodologia!$B$22)+Metodologia!$B$18*(U34/Metodologia!$B$23)+Metodologia!$B$19*(V34/Metodologia!$B$24)+Metodologia!$B$20*(O34/Metodologia!$B$25)+Metodologia!$B$21*(I34/Metodologia!$B$26)),2)</x:f>
        <x:v>42.78</x:v>
      </x:c>
      <x:c r="H34" s="82" t="n">
        <x:f>IF(R34&lt;&gt;"Rankeado","",COUNTIFS($R$5:$R$255,"Rankeado",$G$5:$G$255,"&gt;"&amp;G34)+COUNTIFS($R$5:R34,"Rankeado",$G$5:G34,G34))</x:f>
        <x:v>166</x:v>
      </x:c>
      <x:c r="I34" s="82" t="n">
        <x:f>SUM(J34:O34)</x:f>
        <x:v>365</x:v>
      </x:c>
      <x:c r="J34" s="82" t="n">
        <x:v>70</x:v>
      </x:c>
      <x:c r="K34" s="82" t="n">
        <x:v>62</x:v>
      </x:c>
      <x:c r="L34" s="82" t="n">
        <x:v>67</x:v>
      </x:c>
      <x:c r="M34" s="82" t="n">
        <x:v>55</x:v>
      </x:c>
      <x:c r="N34" s="82" t="n">
        <x:v>55</x:v>
      </x:c>
      <x:c r="O34" s="82" t="n">
        <x:v>56</x:v>
      </x:c>
      <x:c r="P34" s="82" t="str">
        <x:v>Sim</x:v>
      </x:c>
      <x:c r="Q34" s="82" t="str">
        <x:v>Não</x:v>
      </x:c>
      <x:c r="R34" s="82" t="str">
        <x:v>Rankeado</x:v>
      </x:c>
      <x:c r="S34" s="82" t="str">
        <x:v>https://poke.idleworld.online/pokepedia/pokemon/nidorina</x:v>
      </x:c>
      <x:c r="T34" s="143" t="n">
        <x:f>MAX(K34,M34)*Metodologia!$B$16</x:f>
        <x:v>80.60000000000001</x:v>
      </x:c>
      <x:c r="U34" s="143" t="n">
        <x:f>MIN(K34,M34)*Metodologia!$B$16</x:f>
        <x:v>71.5</x:v>
      </x:c>
      <x:c r="V34" s="144" t="n">
        <x:f>SQRT(J34*AVERAGE(L34,N34)*Metodologia!$B$16)</x:f>
        <x:v>74.50503338701353</x:v>
      </x:c>
    </x:row>
    <x:row r="35" ht="22" customHeight="1">
      <x:c r="A35" s="82" t="n">
        <x:v>31</x:v>
      </x:c>
      <x:c r="B35" s="82" t="str">
        <x:v>Nidoqueen</x:v>
      </x:c>
      <x:c r="C35" s="82" t="str">
        <x:v>Veneno / Terra</x:v>
      </x:c>
      <x:c r="D35" s="82" t="str">
        <x:v>Orebound / Malefic</x:v>
      </x:c>
      <x:c r="E35" s="82" t="n">
        <x:v>2</x:v>
      </x:c>
      <x:c r="F35" s="82" t="str">
        <x:f>IF(G35&gt;=80,"S+",IF(G35&gt;=72,"S",IF(G35&gt;=65,"A",IF(G35&gt;=58,"B",IF(G35&gt;=50,"C",IF(G35&gt;=42,"D","E"))))))</x:f>
        <x:v>B</x:v>
      </x:c>
      <x:c r="G35" s="142" t="n">
        <x:f>ROUND(100*(Metodologia!$B$17*(T35/Metodologia!$B$22)+Metodologia!$B$18*(U35/Metodologia!$B$23)+Metodologia!$B$19*(V35/Metodologia!$B$24)+Metodologia!$B$20*(O35/Metodologia!$B$25)+Metodologia!$B$21*(I35/Metodologia!$B$26)),2)</x:f>
        <x:v>61.15</x:v>
      </x:c>
      <x:c r="H35" s="82" t="n">
        <x:f>IF(R35&lt;&gt;"Rankeado","",COUNTIFS($R$5:$R$255,"Rankeado",$G$5:$G$255,"&gt;"&amp;G35)+COUNTIFS($R$5:R35,"Rankeado",$G$5:G35,G35))</x:f>
        <x:v>60</x:v>
      </x:c>
      <x:c r="I35" s="82" t="n">
        <x:f>SUM(J35:O35)</x:f>
        <x:v>505</x:v>
      </x:c>
      <x:c r="J35" s="82" t="n">
        <x:v>90</x:v>
      </x:c>
      <x:c r="K35" s="82" t="n">
        <x:v>92</x:v>
      </x:c>
      <x:c r="L35" s="82" t="n">
        <x:v>87</x:v>
      </x:c>
      <x:c r="M35" s="82" t="n">
        <x:v>75</x:v>
      </x:c>
      <x:c r="N35" s="82" t="n">
        <x:v>85</x:v>
      </x:c>
      <x:c r="O35" s="82" t="n">
        <x:v>76</x:v>
      </x:c>
      <x:c r="P35" s="82" t="str">
        <x:v>Sim</x:v>
      </x:c>
      <x:c r="Q35" s="82" t="str">
        <x:v>Não</x:v>
      </x:c>
      <x:c r="R35" s="82" t="str">
        <x:v>Rankeado</x:v>
      </x:c>
      <x:c r="S35" s="82" t="str">
        <x:v>https://poke.idleworld.online/pokepedia/pokemon/nidoqueen</x:v>
      </x:c>
      <x:c r="T35" s="143" t="n">
        <x:f>MAX(K35,M35)*Metodologia!$B$16</x:f>
        <x:v>119.60000000000001</x:v>
      </x:c>
      <x:c r="U35" s="143" t="n">
        <x:f>MIN(K35,M35)*Metodologia!$B$16</x:f>
        <x:v>97.5</x:v>
      </x:c>
      <x:c r="V35" s="144" t="n">
        <x:f>SQRT(J35*AVERAGE(L35,N35)*Metodologia!$B$16)</x:f>
        <x:v>100.30952098380293</x:v>
      </x:c>
    </x:row>
    <x:row r="36" ht="22" customHeight="1">
      <x:c r="A36" s="82" t="n">
        <x:v>32</x:v>
      </x:c>
      <x:c r="B36" s="82" t="str">
        <x:v>Nidoran♂</x:v>
      </x:c>
      <x:c r="C36" s="82" t="str">
        <x:v>Veneno</x:v>
      </x:c>
      <x:c r="D36" s="82" t="str">
        <x:v>Malefic</x:v>
      </x:c>
      <x:c r="E36" s="82" t="n">
        <x:v>1</x:v>
      </x:c>
      <x:c r="F36" s="82" t="str">
        <x:f>IF(G36&gt;=80,"S+",IF(G36&gt;=72,"S",IF(G36&gt;=65,"A",IF(G36&gt;=58,"B",IF(G36&gt;=50,"C",IF(G36&gt;=42,"D","E"))))))</x:f>
        <x:v>E</x:v>
      </x:c>
      <x:c r="G36" s="142" t="n">
        <x:f>ROUND(100*(Metodologia!$B$17*(T36/Metodologia!$B$22)+Metodologia!$B$18*(U36/Metodologia!$B$23)+Metodologia!$B$19*(V36/Metodologia!$B$24)+Metodologia!$B$20*(O36/Metodologia!$B$25)+Metodologia!$B$21*(I36/Metodologia!$B$26)),2)</x:f>
        <x:v>35.92</x:v>
      </x:c>
      <x:c r="H36" s="82" t="n">
        <x:f>IF(R36&lt;&gt;"Rankeado","",COUNTIFS($R$5:$R$255,"Rankeado",$G$5:$G$255,"&gt;"&amp;G36)+COUNTIFS($R$5:R36,"Rankeado",$G$5:G36,G36))</x:f>
        <x:v>200</x:v>
      </x:c>
      <x:c r="I36" s="82" t="n">
        <x:f>SUM(J36:O36)</x:f>
        <x:v>273</x:v>
      </x:c>
      <x:c r="J36" s="82" t="n">
        <x:v>46</x:v>
      </x:c>
      <x:c r="K36" s="82" t="n">
        <x:v>57</x:v>
      </x:c>
      <x:c r="L36" s="82" t="n">
        <x:v>40</x:v>
      </x:c>
      <x:c r="M36" s="82" t="n">
        <x:v>40</x:v>
      </x:c>
      <x:c r="N36" s="82" t="n">
        <x:v>40</x:v>
      </x:c>
      <x:c r="O36" s="82" t="n">
        <x:v>50</x:v>
      </x:c>
      <x:c r="P36" s="82" t="str">
        <x:v>Sim</x:v>
      </x:c>
      <x:c r="Q36" s="82" t="str">
        <x:v>Não</x:v>
      </x:c>
      <x:c r="R36" s="82" t="str">
        <x:v>Rankeado</x:v>
      </x:c>
      <x:c r="S36" s="82" t="str">
        <x:v>https://poke.idleworld.online/pokepedia/pokemon/nidoran-m</x:v>
      </x:c>
      <x:c r="T36" s="143" t="n">
        <x:f>MAX(K36,M36)*Metodologia!$B$16</x:f>
        <x:v>74.10000000000001</x:v>
      </x:c>
      <x:c r="U36" s="143" t="n">
        <x:f>MIN(K36,M36)*Metodologia!$B$16</x:f>
        <x:v>52</x:v>
      </x:c>
      <x:c r="V36" s="144" t="n">
        <x:f>SQRT(J36*AVERAGE(L36,N36)*Metodologia!$B$16)</x:f>
        <x:v>48.908077042549934</x:v>
      </x:c>
    </x:row>
    <x:row r="37" ht="22" customHeight="1">
      <x:c r="A37" s="82" t="n">
        <x:v>33</x:v>
      </x:c>
      <x:c r="B37" s="82" t="str">
        <x:v>Nidorino</x:v>
      </x:c>
      <x:c r="C37" s="82" t="str">
        <x:v>Veneno</x:v>
      </x:c>
      <x:c r="D37" s="82" t="str">
        <x:v>Malefic</x:v>
      </x:c>
      <x:c r="E37" s="82" t="n">
        <x:v>1</x:v>
      </x:c>
      <x:c r="F37" s="82" t="str">
        <x:f>IF(G37&gt;=80,"S+",IF(G37&gt;=72,"S",IF(G37&gt;=65,"A",IF(G37&gt;=58,"B",IF(G37&gt;=50,"C",IF(G37&gt;=42,"D","E"))))))</x:f>
        <x:v>D</x:v>
      </x:c>
      <x:c r="G37" s="142" t="n">
        <x:f>ROUND(100*(Metodologia!$B$17*(T37/Metodologia!$B$22)+Metodologia!$B$18*(U37/Metodologia!$B$23)+Metodologia!$B$19*(V37/Metodologia!$B$24)+Metodologia!$B$20*(O37/Metodologia!$B$25)+Metodologia!$B$21*(I37/Metodologia!$B$26)),2)</x:f>
        <x:v>46.52</x:v>
      </x:c>
      <x:c r="H37" s="82" t="n">
        <x:f>IF(R37&lt;&gt;"Rankeado","",COUNTIFS($R$5:$R$255,"Rankeado",$G$5:$G$255,"&gt;"&amp;G37)+COUNTIFS($R$5:R37,"Rankeado",$G$5:G37,G37))</x:f>
        <x:v>146</x:v>
      </x:c>
      <x:c r="I37" s="82" t="n">
        <x:f>SUM(J37:O37)</x:f>
        <x:v>365</x:v>
      </x:c>
      <x:c r="J37" s="82" t="n">
        <x:v>61</x:v>
      </x:c>
      <x:c r="K37" s="82" t="n">
        <x:v>72</x:v>
      </x:c>
      <x:c r="L37" s="82" t="n">
        <x:v>57</x:v>
      </x:c>
      <x:c r="M37" s="82" t="n">
        <x:v>55</x:v>
      </x:c>
      <x:c r="N37" s="82" t="n">
        <x:v>55</x:v>
      </x:c>
      <x:c r="O37" s="82" t="n">
        <x:v>65</x:v>
      </x:c>
      <x:c r="P37" s="82" t="str">
        <x:v>Sim</x:v>
      </x:c>
      <x:c r="Q37" s="82" t="str">
        <x:v>Não</x:v>
      </x:c>
      <x:c r="R37" s="82" t="str">
        <x:v>Rankeado</x:v>
      </x:c>
      <x:c r="S37" s="82" t="str">
        <x:v>https://poke.idleworld.online/pokepedia/pokemon/nidorino</x:v>
      </x:c>
      <x:c r="T37" s="143" t="n">
        <x:f>MAX(K37,M37)*Metodologia!$B$16</x:f>
        <x:v>93.60000000000001</x:v>
      </x:c>
      <x:c r="U37" s="143" t="n">
        <x:f>MIN(K37,M37)*Metodologia!$B$16</x:f>
        <x:v>71.5</x:v>
      </x:c>
      <x:c r="V37" s="144" t="n">
        <x:f>SQRT(J37*AVERAGE(L37,N37)*Metodologia!$B$16)</x:f>
        <x:v>66.63932772770146</x:v>
      </x:c>
    </x:row>
    <x:row r="38" ht="22" customHeight="1">
      <x:c r="A38" s="82" t="n">
        <x:v>34</x:v>
      </x:c>
      <x:c r="B38" s="82" t="str">
        <x:v>Nidoking</x:v>
      </x:c>
      <x:c r="C38" s="82" t="str">
        <x:v>Veneno / Terra</x:v>
      </x:c>
      <x:c r="D38" s="82" t="str">
        <x:v>Orebound / Malefic</x:v>
      </x:c>
      <x:c r="E38" s="82" t="n">
        <x:v>2</x:v>
      </x:c>
      <x:c r="F38" s="82" t="str">
        <x:f>IF(G38&gt;=80,"S+",IF(G38&gt;=72,"S",IF(G38&gt;=65,"A",IF(G38&gt;=58,"B",IF(G38&gt;=50,"C",IF(G38&gt;=42,"D","E"))))))</x:f>
        <x:v>A</x:v>
      </x:c>
      <x:c r="G38" s="142" t="n">
        <x:f>ROUND(100*(Metodologia!$B$17*(T38/Metodologia!$B$22)+Metodologia!$B$18*(U38/Metodologia!$B$23)+Metodologia!$B$19*(V38/Metodologia!$B$24)+Metodologia!$B$20*(O38/Metodologia!$B$25)+Metodologia!$B$21*(I38/Metodologia!$B$26)),2)</x:f>
        <x:v>65.5</x:v>
      </x:c>
      <x:c r="H38" s="82" t="n">
        <x:f>IF(R38&lt;&gt;"Rankeado","",COUNTIFS($R$5:$R$255,"Rankeado",$G$5:$G$255,"&gt;"&amp;G38)+COUNTIFS($R$5:R38,"Rankeado",$G$5:G38,G38))</x:f>
        <x:v>39</x:v>
      </x:c>
      <x:c r="I38" s="82" t="n">
        <x:f>SUM(J38:O38)</x:f>
        <x:v>505</x:v>
      </x:c>
      <x:c r="J38" s="82" t="n">
        <x:v>81</x:v>
      </x:c>
      <x:c r="K38" s="82" t="n">
        <x:v>102</x:v>
      </x:c>
      <x:c r="L38" s="82" t="n">
        <x:v>77</x:v>
      </x:c>
      <x:c r="M38" s="82" t="n">
        <x:v>85</x:v>
      </x:c>
      <x:c r="N38" s="82" t="n">
        <x:v>75</x:v>
      </x:c>
      <x:c r="O38" s="82" t="n">
        <x:v>85</x:v>
      </x:c>
      <x:c r="P38" s="82" t="str">
        <x:v>Sim</x:v>
      </x:c>
      <x:c r="Q38" s="82" t="str">
        <x:v>Não</x:v>
      </x:c>
      <x:c r="R38" s="82" t="str">
        <x:v>Rankeado</x:v>
      </x:c>
      <x:c r="S38" s="82" t="str">
        <x:v>https://poke.idleworld.online/pokepedia/pokemon/nidoking</x:v>
      </x:c>
      <x:c r="T38" s="143" t="n">
        <x:f>MAX(K38,M38)*Metodologia!$B$16</x:f>
        <x:v>132.6</x:v>
      </x:c>
      <x:c r="U38" s="143" t="n">
        <x:f>MIN(K38,M38)*Metodologia!$B$16</x:f>
        <x:v>110.5</x:v>
      </x:c>
      <x:c r="V38" s="144" t="n">
        <x:f>SQRT(J38*AVERAGE(L38,N38)*Metodologia!$B$16)</x:f>
        <x:v>89.45837020648207</x:v>
      </x:c>
    </x:row>
    <x:row r="39" ht="22" customHeight="1">
      <x:c r="A39" s="82" t="n">
        <x:v>35</x:v>
      </x:c>
      <x:c r="B39" s="82" t="str">
        <x:v>Clefairy</x:v>
      </x:c>
      <x:c r="C39" s="82" t="str">
        <x:v>Fada</x:v>
      </x:c>
      <x:c r="D39" s="82" t="str">
        <x:v>Psycraft</x:v>
      </x:c>
      <x:c r="E39" s="82" t="n">
        <x:v>1</x:v>
      </x:c>
      <x:c r="F39" s="82" t="str">
        <x:f>IF(G39&gt;=80,"S+",IF(G39&gt;=72,"S",IF(G39&gt;=65,"A",IF(G39&gt;=58,"B",IF(G39&gt;=50,"C",IF(G39&gt;=42,"D","E"))))))</x:f>
        <x:v>E</x:v>
      </x:c>
      <x:c r="G39" s="142" t="n">
        <x:f>ROUND(100*(Metodologia!$B$17*(T39/Metodologia!$B$22)+Metodologia!$B$18*(U39/Metodologia!$B$23)+Metodologia!$B$19*(V39/Metodologia!$B$24)+Metodologia!$B$20*(O39/Metodologia!$B$25)+Metodologia!$B$21*(I39/Metodologia!$B$26)),2)</x:f>
        <x:v>39.11</x:v>
      </x:c>
      <x:c r="H39" s="82" t="n">
        <x:f>IF(R39&lt;&gt;"Rankeado","",COUNTIFS($R$5:$R$255,"Rankeado",$G$5:$G$255,"&gt;"&amp;G39)+COUNTIFS($R$5:R39,"Rankeado",$G$5:G39,G39))</x:f>
        <x:v>186</x:v>
      </x:c>
      <x:c r="I39" s="82" t="n">
        <x:f>SUM(J39:O39)</x:f>
        <x:v>323</x:v>
      </x:c>
      <x:c r="J39" s="82" t="n">
        <x:v>70</x:v>
      </x:c>
      <x:c r="K39" s="82" t="n">
        <x:v>45</x:v>
      </x:c>
      <x:c r="L39" s="82" t="n">
        <x:v>48</x:v>
      </x:c>
      <x:c r="M39" s="82" t="n">
        <x:v>60</x:v>
      </x:c>
      <x:c r="N39" s="82" t="n">
        <x:v>65</x:v>
      </x:c>
      <x:c r="O39" s="82" t="n">
        <x:v>35</x:v>
      </x:c>
      <x:c r="P39" s="82" t="str">
        <x:v>Sim</x:v>
      </x:c>
      <x:c r="Q39" s="82" t="str">
        <x:v>Não</x:v>
      </x:c>
      <x:c r="R39" s="82" t="str">
        <x:v>Rankeado</x:v>
      </x:c>
      <x:c r="S39" s="82" t="str">
        <x:v>https://poke.idleworld.online/pokepedia/pokemon/clefairy</x:v>
      </x:c>
      <x:c r="T39" s="143" t="n">
        <x:f>MAX(K39,M39)*Metodologia!$B$16</x:f>
        <x:v>78</x:v>
      </x:c>
      <x:c r="U39" s="143" t="n">
        <x:f>MIN(K39,M39)*Metodologia!$B$16</x:f>
        <x:v>58.5</x:v>
      </x:c>
      <x:c r="V39" s="144" t="n">
        <x:f>SQRT(J39*AVERAGE(L39,N39)*Metodologia!$B$16)</x:f>
        <x:v>71.70425370924657</x:v>
      </x:c>
    </x:row>
    <x:row r="40" ht="22" customHeight="1">
      <x:c r="A40" s="82" t="n">
        <x:v>36</x:v>
      </x:c>
      <x:c r="B40" s="82" t="str">
        <x:v>Clefable</x:v>
      </x:c>
      <x:c r="C40" s="82" t="str">
        <x:v>Fada</x:v>
      </x:c>
      <x:c r="D40" s="82" t="str">
        <x:v>Psycraft</x:v>
      </x:c>
      <x:c r="E40" s="82" t="n">
        <x:v>1</x:v>
      </x:c>
      <x:c r="F40" s="82" t="str">
        <x:f>IF(G40&gt;=80,"S+",IF(G40&gt;=72,"S",IF(G40&gt;=65,"A",IF(G40&gt;=58,"B",IF(G40&gt;=50,"C",IF(G40&gt;=42,"D","E"))))))</x:f>
        <x:v>B</x:v>
      </x:c>
      <x:c r="G40" s="142" t="n">
        <x:f>ROUND(100*(Metodologia!$B$17*(T40/Metodologia!$B$22)+Metodologia!$B$18*(U40/Metodologia!$B$23)+Metodologia!$B$19*(V40/Metodologia!$B$24)+Metodologia!$B$20*(O40/Metodologia!$B$25)+Metodologia!$B$21*(I40/Metodologia!$B$26)),2)</x:f>
        <x:v>60.64</x:v>
      </x:c>
      <x:c r="H40" s="82" t="n">
        <x:f>IF(R40&lt;&gt;"Rankeado","",COUNTIFS($R$5:$R$255,"Rankeado",$G$5:$G$255,"&gt;"&amp;G40)+COUNTIFS($R$5:R40,"Rankeado",$G$5:G40,G40))</x:f>
        <x:v>63</x:v>
      </x:c>
      <x:c r="I40" s="82" t="n">
        <x:f>SUM(J40:O40)</x:f>
        <x:v>483</x:v>
      </x:c>
      <x:c r="J40" s="82" t="n">
        <x:v>95</x:v>
      </x:c>
      <x:c r="K40" s="82" t="n">
        <x:v>70</x:v>
      </x:c>
      <x:c r="L40" s="82" t="n">
        <x:v>73</x:v>
      </x:c>
      <x:c r="M40" s="82" t="n">
        <x:v>95</x:v>
      </x:c>
      <x:c r="N40" s="82" t="n">
        <x:v>90</x:v>
      </x:c>
      <x:c r="O40" s="82" t="n">
        <x:v>60</x:v>
      </x:c>
      <x:c r="P40" s="82" t="str">
        <x:v>Sim</x:v>
      </x:c>
      <x:c r="Q40" s="82" t="str">
        <x:v>Não</x:v>
      </x:c>
      <x:c r="R40" s="82" t="str">
        <x:v>Rankeado</x:v>
      </x:c>
      <x:c r="S40" s="82" t="str">
        <x:v>https://poke.idleworld.online/pokepedia/pokemon/clefable</x:v>
      </x:c>
      <x:c r="T40" s="143" t="n">
        <x:f>MAX(K40,M40)*Metodologia!$B$16</x:f>
        <x:v>123.5</x:v>
      </x:c>
      <x:c r="U40" s="143" t="n">
        <x:f>MIN(K40,M40)*Metodologia!$B$16</x:f>
        <x:v>91</x:v>
      </x:c>
      <x:c r="V40" s="144" t="n">
        <x:f>SQRT(J40*AVERAGE(L40,N40)*Metodologia!$B$16)</x:f>
        <x:v>100.32571953392609</x:v>
      </x:c>
    </x:row>
    <x:row r="41" ht="22" customHeight="1">
      <x:c r="A41" s="82" t="n">
        <x:v>37</x:v>
      </x:c>
      <x:c r="B41" s="82" t="str">
        <x:v>Vulpix</x:v>
      </x:c>
      <x:c r="C41" s="82" t="str">
        <x:v>Fogo</x:v>
      </x:c>
      <x:c r="D41" s="82" t="str">
        <x:v>Volcanic</x:v>
      </x:c>
      <x:c r="E41" s="82" t="n">
        <x:v>1</x:v>
      </x:c>
      <x:c r="F41" s="82" t="str">
        <x:f>IF(G41&gt;=80,"S+",IF(G41&gt;=72,"S",IF(G41&gt;=65,"A",IF(G41&gt;=58,"B",IF(G41&gt;=50,"C",IF(G41&gt;=42,"D","E"))))))</x:f>
        <x:v>E</x:v>
      </x:c>
      <x:c r="G41" s="142" t="n">
        <x:f>ROUND(100*(Metodologia!$B$17*(T41/Metodologia!$B$22)+Metodologia!$B$18*(U41/Metodologia!$B$23)+Metodologia!$B$19*(V41/Metodologia!$B$24)+Metodologia!$B$20*(O41/Metodologia!$B$25)+Metodologia!$B$21*(I41/Metodologia!$B$26)),2)</x:f>
        <x:v>34.67</x:v>
      </x:c>
      <x:c r="H41" s="82" t="n">
        <x:f>IF(R41&lt;&gt;"Rankeado","",COUNTIFS($R$5:$R$255,"Rankeado",$G$5:$G$255,"&gt;"&amp;G41)+COUNTIFS($R$5:R41,"Rankeado",$G$5:G41,G41))</x:f>
        <x:v>208</x:v>
      </x:c>
      <x:c r="I41" s="82" t="n">
        <x:f>SUM(J41:O41)</x:f>
        <x:v>299</x:v>
      </x:c>
      <x:c r="J41" s="82" t="n">
        <x:v>38</x:v>
      </x:c>
      <x:c r="K41" s="82" t="n">
        <x:v>41</x:v>
      </x:c>
      <x:c r="L41" s="82" t="n">
        <x:v>40</x:v>
      </x:c>
      <x:c r="M41" s="82" t="n">
        <x:v>50</x:v>
      </x:c>
      <x:c r="N41" s="82" t="n">
        <x:v>65</x:v>
      </x:c>
      <x:c r="O41" s="82" t="n">
        <x:v>65</x:v>
      </x:c>
      <x:c r="P41" s="82" t="str">
        <x:v>Sim</x:v>
      </x:c>
      <x:c r="Q41" s="82" t="str">
        <x:v>Não</x:v>
      </x:c>
      <x:c r="R41" s="82" t="str">
        <x:v>Rankeado</x:v>
      </x:c>
      <x:c r="S41" s="82" t="str">
        <x:v>https://poke.idleworld.online/pokepedia/pokemon/vulpix</x:v>
      </x:c>
      <x:c r="T41" s="143" t="n">
        <x:f>MAX(K41,M41)*Metodologia!$B$16</x:f>
        <x:v>65</x:v>
      </x:c>
      <x:c r="U41" s="143" t="n">
        <x:f>MIN(K41,M41)*Metodologia!$B$16</x:f>
        <x:v>53.300000000000004</x:v>
      </x:c>
      <x:c r="V41" s="144" t="n">
        <x:f>SQRT(J41*AVERAGE(L41,N41)*Metodologia!$B$16)</x:f>
        <x:v>50.926417506044935</x:v>
      </x:c>
    </x:row>
    <x:row r="42" ht="22" customHeight="1">
      <x:c r="A42" s="82" t="n">
        <x:v>38</x:v>
      </x:c>
      <x:c r="B42" s="82" t="str">
        <x:v>Ninetales</x:v>
      </x:c>
      <x:c r="C42" s="82" t="str">
        <x:v>Fogo</x:v>
      </x:c>
      <x:c r="D42" s="82" t="str">
        <x:v>Volcanic</x:v>
      </x:c>
      <x:c r="E42" s="82" t="n">
        <x:v>1</x:v>
      </x:c>
      <x:c r="F42" s="82" t="str">
        <x:f>IF(G42&gt;=80,"S+",IF(G42&gt;=72,"S",IF(G42&gt;=65,"A",IF(G42&gt;=58,"B",IF(G42&gt;=50,"C",IF(G42&gt;=42,"D","E"))))))</x:f>
        <x:v>C</x:v>
      </x:c>
      <x:c r="G42" s="142" t="n">
        <x:f>ROUND(100*(Metodologia!$B$17*(T42/Metodologia!$B$22)+Metodologia!$B$18*(U42/Metodologia!$B$23)+Metodologia!$B$19*(V42/Metodologia!$B$24)+Metodologia!$B$20*(O42/Metodologia!$B$25)+Metodologia!$B$21*(I42/Metodologia!$B$26)),2)</x:f>
        <x:v>57.66</x:v>
      </x:c>
      <x:c r="H42" s="82" t="n">
        <x:f>IF(R42&lt;&gt;"Rankeado","",COUNTIFS($R$5:$R$255,"Rankeado",$G$5:$G$255,"&gt;"&amp;G42)+COUNTIFS($R$5:R42,"Rankeado",$G$5:G42,G42))</x:f>
        <x:v>83</x:v>
      </x:c>
      <x:c r="I42" s="82" t="n">
        <x:f>SUM(J42:O42)</x:f>
        <x:v>505</x:v>
      </x:c>
      <x:c r="J42" s="82" t="n">
        <x:v>73</x:v>
      </x:c>
      <x:c r="K42" s="82" t="n">
        <x:v>76</x:v>
      </x:c>
      <x:c r="L42" s="82" t="n">
        <x:v>75</x:v>
      </x:c>
      <x:c r="M42" s="82" t="n">
        <x:v>81</x:v>
      </x:c>
      <x:c r="N42" s="82" t="n">
        <x:v>100</x:v>
      </x:c>
      <x:c r="O42" s="82" t="n">
        <x:v>100</x:v>
      </x:c>
      <x:c r="P42" s="82" t="str">
        <x:v>Sim</x:v>
      </x:c>
      <x:c r="Q42" s="82" t="str">
        <x:v>Não</x:v>
      </x:c>
      <x:c r="R42" s="82" t="str">
        <x:v>Rankeado</x:v>
      </x:c>
      <x:c r="S42" s="82" t="str">
        <x:v>https://poke.idleworld.online/pokepedia/pokemon/ninetales</x:v>
      </x:c>
      <x:c r="T42" s="143" t="n">
        <x:f>MAX(K42,M42)*Metodologia!$B$16</x:f>
        <x:v>105.3</x:v>
      </x:c>
      <x:c r="U42" s="143" t="n">
        <x:f>MIN(K42,M42)*Metodologia!$B$16</x:f>
        <x:v>98.8</x:v>
      </x:c>
      <x:c r="V42" s="144" t="n">
        <x:f>SQRT(J42*AVERAGE(L42,N42)*Metodologia!$B$16)</x:f>
        <x:v>91.12491426607764</x:v>
      </x:c>
    </x:row>
    <x:row r="43" ht="22" customHeight="1">
      <x:c r="A43" s="82" t="n">
        <x:v>39</x:v>
      </x:c>
      <x:c r="B43" s="82" t="str">
        <x:v>Jigglypuff</x:v>
      </x:c>
      <x:c r="C43" s="82" t="str">
        <x:v>Normal / Fada</x:v>
      </x:c>
      <x:c r="D43" s="82" t="str">
        <x:v>Gardestrike / Psycraft</x:v>
      </x:c>
      <x:c r="E43" s="82" t="n">
        <x:v>2</x:v>
      </x:c>
      <x:c r="F43" s="82" t="str">
        <x:f>IF(G43&gt;=80,"S+",IF(G43&gt;=72,"S",IF(G43&gt;=65,"A",IF(G43&gt;=58,"B",IF(G43&gt;=50,"C",IF(G43&gt;=42,"D","E"))))))</x:f>
        <x:v>E</x:v>
      </x:c>
      <x:c r="G43" s="142" t="n">
        <x:f>ROUND(100*(Metodologia!$B$17*(T43/Metodologia!$B$22)+Metodologia!$B$18*(U43/Metodologia!$B$23)+Metodologia!$B$19*(V43/Metodologia!$B$24)+Metodologia!$B$20*(O43/Metodologia!$B$25)+Metodologia!$B$21*(I43/Metodologia!$B$26)),2)</x:f>
        <x:v>30.55</x:v>
      </x:c>
      <x:c r="H43" s="82" t="n">
        <x:f>IF(R43&lt;&gt;"Rankeado","",COUNTIFS($R$5:$R$255,"Rankeado",$G$5:$G$255,"&gt;"&amp;G43)+COUNTIFS($R$5:R43,"Rankeado",$G$5:G43,G43))</x:f>
        <x:v>220</x:v>
      </x:c>
      <x:c r="I43" s="82" t="n">
        <x:f>SUM(J43:O43)</x:f>
        <x:v>270</x:v>
      </x:c>
      <x:c r="J43" s="82" t="n">
        <x:v>115</x:v>
      </x:c>
      <x:c r="K43" s="82" t="n">
        <x:v>45</x:v>
      </x:c>
      <x:c r="L43" s="82" t="n">
        <x:v>20</x:v>
      </x:c>
      <x:c r="M43" s="82" t="n">
        <x:v>45</x:v>
      </x:c>
      <x:c r="N43" s="82" t="n">
        <x:v>25</x:v>
      </x:c>
      <x:c r="O43" s="82" t="n">
        <x:v>20</x:v>
      </x:c>
      <x:c r="P43" s="82" t="str">
        <x:v>Sim</x:v>
      </x:c>
      <x:c r="Q43" s="82" t="str">
        <x:v>Não</x:v>
      </x:c>
      <x:c r="R43" s="82" t="str">
        <x:v>Rankeado</x:v>
      </x:c>
      <x:c r="S43" s="82" t="str">
        <x:v>https://poke.idleworld.online/pokepedia/pokemon/jigglypuff</x:v>
      </x:c>
      <x:c r="T43" s="143" t="n">
        <x:f>MAX(K43,M43)*Metodologia!$B$16</x:f>
        <x:v>58.5</x:v>
      </x:c>
      <x:c r="U43" s="143" t="n">
        <x:f>MIN(K43,M43)*Metodologia!$B$16</x:f>
        <x:v>58.5</x:v>
      </x:c>
      <x:c r="V43" s="144" t="n">
        <x:f>SQRT(J43*AVERAGE(L43,N43)*Metodologia!$B$16)</x:f>
        <x:v>57.99784478754361</x:v>
      </x:c>
    </x:row>
    <x:row r="44" ht="22" customHeight="1">
      <x:c r="A44" s="82" t="n">
        <x:v>40</x:v>
      </x:c>
      <x:c r="B44" s="82" t="str">
        <x:v>Wigglytuff</x:v>
      </x:c>
      <x:c r="C44" s="82" t="str">
        <x:v>Normal / Fada</x:v>
      </x:c>
      <x:c r="D44" s="82" t="str">
        <x:v>Gardestrike / Psycraft</x:v>
      </x:c>
      <x:c r="E44" s="82" t="n">
        <x:v>2</x:v>
      </x:c>
      <x:c r="F44" s="82" t="str">
        <x:f>IF(G44&gt;=80,"S+",IF(G44&gt;=72,"S",IF(G44&gt;=65,"A",IF(G44&gt;=58,"B",IF(G44&gt;=50,"C",IF(G44&gt;=42,"D","E"))))))</x:f>
        <x:v>C</x:v>
      </x:c>
      <x:c r="G44" s="142" t="n">
        <x:f>ROUND(100*(Metodologia!$B$17*(T44/Metodologia!$B$22)+Metodologia!$B$18*(U44/Metodologia!$B$23)+Metodologia!$B$19*(V44/Metodologia!$B$24)+Metodologia!$B$20*(O44/Metodologia!$B$25)+Metodologia!$B$21*(I44/Metodologia!$B$26)),2)</x:f>
        <x:v>54.68</x:v>
      </x:c>
      <x:c r="H44" s="82" t="n">
        <x:f>IF(R44&lt;&gt;"Rankeado","",COUNTIFS($R$5:$R$255,"Rankeado",$G$5:$G$255,"&gt;"&amp;G44)+COUNTIFS($R$5:R44,"Rankeado",$G$5:G44,G44))</x:f>
        <x:v>100</x:v>
      </x:c>
      <x:c r="I44" s="82" t="n">
        <x:f>SUM(J44:O44)</x:f>
        <x:v>435</x:v>
      </x:c>
      <x:c r="J44" s="82" t="n">
        <x:v>140</x:v>
      </x:c>
      <x:c r="K44" s="82" t="n">
        <x:v>70</x:v>
      </x:c>
      <x:c r="L44" s="82" t="n">
        <x:v>45</x:v>
      </x:c>
      <x:c r="M44" s="82" t="n">
        <x:v>85</x:v>
      </x:c>
      <x:c r="N44" s="82" t="n">
        <x:v>50</x:v>
      </x:c>
      <x:c r="O44" s="82" t="n">
        <x:v>45</x:v>
      </x:c>
      <x:c r="P44" s="82" t="str">
        <x:v>Sim</x:v>
      </x:c>
      <x:c r="Q44" s="82" t="str">
        <x:v>Não</x:v>
      </x:c>
      <x:c r="R44" s="82" t="str">
        <x:v>Rankeado</x:v>
      </x:c>
      <x:c r="S44" s="82" t="str">
        <x:v>https://poke.idleworld.online/pokepedia/pokemon/wigglytuff</x:v>
      </x:c>
      <x:c r="T44" s="143" t="n">
        <x:f>MAX(K44,M44)*Metodologia!$B$16</x:f>
        <x:v>110.5</x:v>
      </x:c>
      <x:c r="U44" s="143" t="n">
        <x:f>MIN(K44,M44)*Metodologia!$B$16</x:f>
        <x:v>91</x:v>
      </x:c>
      <x:c r="V44" s="144" t="n">
        <x:f>SQRT(J44*AVERAGE(L44,N44)*Metodologia!$B$16)</x:f>
        <x:v>92.97849213662265</x:v>
      </x:c>
    </x:row>
    <x:row r="45" ht="22" customHeight="1">
      <x:c r="A45" s="82" t="n">
        <x:v>41</x:v>
      </x:c>
      <x:c r="B45" s="82" t="str">
        <x:v>Zubat</x:v>
      </x:c>
      <x:c r="C45" s="82" t="str">
        <x:v>Veneno / Voador</x:v>
      </x:c>
      <x:c r="D45" s="82" t="str">
        <x:v>Wingeon / Malefic</x:v>
      </x:c>
      <x:c r="E45" s="82" t="n">
        <x:v>2</x:v>
      </x:c>
      <x:c r="F45" s="82" t="str">
        <x:f>IF(G45&gt;=80,"S+",IF(G45&gt;=72,"S",IF(G45&gt;=65,"A",IF(G45&gt;=58,"B",IF(G45&gt;=50,"C",IF(G45&gt;=42,"D","E"))))))</x:f>
        <x:v>E</x:v>
      </x:c>
      <x:c r="G45" s="142" t="n">
        <x:f>ROUND(100*(Metodologia!$B$17*(T45/Metodologia!$B$22)+Metodologia!$B$18*(U45/Metodologia!$B$23)+Metodologia!$B$19*(V45/Metodologia!$B$24)+Metodologia!$B$20*(O45/Metodologia!$B$25)+Metodologia!$B$21*(I45/Metodologia!$B$26)),2)</x:f>
        <x:v>30</x:v>
      </x:c>
      <x:c r="H45" s="82" t="n">
        <x:f>IF(R45&lt;&gt;"Rankeado","",COUNTIFS($R$5:$R$255,"Rankeado",$G$5:$G$255,"&gt;"&amp;G45)+COUNTIFS($R$5:R45,"Rankeado",$G$5:G45,G45))</x:f>
        <x:v>221</x:v>
      </x:c>
      <x:c r="I45" s="82" t="n">
        <x:f>SUM(J45:O45)</x:f>
        <x:v>245</x:v>
      </x:c>
      <x:c r="J45" s="82" t="n">
        <x:v>40</x:v>
      </x:c>
      <x:c r="K45" s="82" t="n">
        <x:v>45</x:v>
      </x:c>
      <x:c r="L45" s="82" t="n">
        <x:v>35</x:v>
      </x:c>
      <x:c r="M45" s="82" t="n">
        <x:v>30</x:v>
      </x:c>
      <x:c r="N45" s="82" t="n">
        <x:v>40</x:v>
      </x:c>
      <x:c r="O45" s="82" t="n">
        <x:v>55</x:v>
      </x:c>
      <x:c r="P45" s="82" t="str">
        <x:v>Sim</x:v>
      </x:c>
      <x:c r="Q45" s="82" t="str">
        <x:v>Não</x:v>
      </x:c>
      <x:c r="R45" s="82" t="str">
        <x:v>Rankeado</x:v>
      </x:c>
      <x:c r="S45" s="82" t="str">
        <x:v>https://poke.idleworld.online/pokepedia/pokemon/zubat</x:v>
      </x:c>
      <x:c r="T45" s="143" t="n">
        <x:f>MAX(K45,M45)*Metodologia!$B$16</x:f>
        <x:v>58.5</x:v>
      </x:c>
      <x:c r="U45" s="143" t="n">
        <x:f>MIN(K45,M45)*Metodologia!$B$16</x:f>
        <x:v>39</x:v>
      </x:c>
      <x:c r="V45" s="144" t="n">
        <x:f>SQRT(J45*AVERAGE(L45,N45)*Metodologia!$B$16)</x:f>
        <x:v>44.15880433163923</x:v>
      </x:c>
    </x:row>
    <x:row r="46" ht="22" customHeight="1">
      <x:c r="A46" s="82" t="n">
        <x:v>42</x:v>
      </x:c>
      <x:c r="B46" s="82" t="str">
        <x:v>Golbat</x:v>
      </x:c>
      <x:c r="C46" s="82" t="str">
        <x:v>Veneno / Voador</x:v>
      </x:c>
      <x:c r="D46" s="82" t="str">
        <x:v>Wingeon / Malefic</x:v>
      </x:c>
      <x:c r="E46" s="82" t="n">
        <x:v>2</x:v>
      </x:c>
      <x:c r="F46" s="82" t="str">
        <x:f>IF(G46&gt;=80,"S+",IF(G46&gt;=72,"S",IF(G46&gt;=65,"A",IF(G46&gt;=58,"B",IF(G46&gt;=50,"C",IF(G46&gt;=42,"D","E"))))))</x:f>
        <x:v>C</x:v>
      </x:c>
      <x:c r="G46" s="142" t="n">
        <x:f>ROUND(100*(Metodologia!$B$17*(T46/Metodologia!$B$22)+Metodologia!$B$18*(U46/Metodologia!$B$23)+Metodologia!$B$19*(V46/Metodologia!$B$24)+Metodologia!$B$20*(O46/Metodologia!$B$25)+Metodologia!$B$21*(I46/Metodologia!$B$26)),2)</x:f>
        <x:v>54.56</x:v>
      </x:c>
      <x:c r="H46" s="82" t="n">
        <x:f>IF(R46&lt;&gt;"Rankeado","",COUNTIFS($R$5:$R$255,"Rankeado",$G$5:$G$255,"&gt;"&amp;G46)+COUNTIFS($R$5:R46,"Rankeado",$G$5:G46,G46))</x:f>
        <x:v>101</x:v>
      </x:c>
      <x:c r="I46" s="82" t="n">
        <x:f>SUM(J46:O46)</x:f>
        <x:v>455</x:v>
      </x:c>
      <x:c r="J46" s="82" t="n">
        <x:v>75</x:v>
      </x:c>
      <x:c r="K46" s="82" t="n">
        <x:v>80</x:v>
      </x:c>
      <x:c r="L46" s="82" t="n">
        <x:v>70</x:v>
      </x:c>
      <x:c r="M46" s="82" t="n">
        <x:v>65</x:v>
      </x:c>
      <x:c r="N46" s="82" t="n">
        <x:v>75</x:v>
      </x:c>
      <x:c r="O46" s="82" t="n">
        <x:v>90</x:v>
      </x:c>
      <x:c r="P46" s="82" t="str">
        <x:v>Sim</x:v>
      </x:c>
      <x:c r="Q46" s="82" t="str">
        <x:v>Não</x:v>
      </x:c>
      <x:c r="R46" s="82" t="str">
        <x:v>Rankeado</x:v>
      </x:c>
      <x:c r="S46" s="82" t="str">
        <x:v>https://poke.idleworld.online/pokepedia/pokemon/golbat</x:v>
      </x:c>
      <x:c r="T46" s="143" t="n">
        <x:f>MAX(K46,M46)*Metodologia!$B$16</x:f>
        <x:v>104</x:v>
      </x:c>
      <x:c r="U46" s="143" t="n">
        <x:f>MIN(K46,M46)*Metodologia!$B$16</x:f>
        <x:v>84.5</x:v>
      </x:c>
      <x:c r="V46" s="144" t="n">
        <x:f>SQRT(J46*AVERAGE(L46,N46)*Metodologia!$B$16)</x:f>
        <x:v>84.07585860400118</x:v>
      </x:c>
    </x:row>
    <x:row r="47" ht="22" customHeight="1">
      <x:c r="A47" s="82" t="n">
        <x:v>43</x:v>
      </x:c>
      <x:c r="B47" s="82" t="str">
        <x:v>Oddish</x:v>
      </x:c>
      <x:c r="C47" s="82" t="str">
        <x:v>Planta / Veneno</x:v>
      </x:c>
      <x:c r="D47" s="82" t="str">
        <x:v>Naturia / Malefic</x:v>
      </x:c>
      <x:c r="E47" s="82" t="n">
        <x:v>2</x:v>
      </x:c>
      <x:c r="F47" s="82" t="str">
        <x:f>IF(G47&gt;=80,"S+",IF(G47&gt;=72,"S",IF(G47&gt;=65,"A",IF(G47&gt;=58,"B",IF(G47&gt;=50,"C",IF(G47&gt;=42,"D","E"))))))</x:f>
        <x:v>D</x:v>
      </x:c>
      <x:c r="G47" s="142" t="n">
        <x:f>ROUND(100*(Metodologia!$B$17*(T47/Metodologia!$B$22)+Metodologia!$B$18*(U47/Metodologia!$B$23)+Metodologia!$B$19*(V47/Metodologia!$B$24)+Metodologia!$B$20*(O47/Metodologia!$B$25)+Metodologia!$B$21*(I47/Metodologia!$B$26)),2)</x:f>
        <x:v>43.85</x:v>
      </x:c>
      <x:c r="H47" s="82" t="n">
        <x:f>IF(R47&lt;&gt;"Rankeado","",COUNTIFS($R$5:$R$255,"Rankeado",$G$5:$G$255,"&gt;"&amp;G47)+COUNTIFS($R$5:R47,"Rankeado",$G$5:G47,G47))</x:f>
        <x:v>163</x:v>
      </x:c>
      <x:c r="I47" s="82" t="n">
        <x:f>SUM(J47:O47)</x:f>
        <x:v>320</x:v>
      </x:c>
      <x:c r="J47" s="82" t="n">
        <x:v>45</x:v>
      </x:c>
      <x:c r="K47" s="82" t="n">
        <x:v>50</x:v>
      </x:c>
      <x:c r="L47" s="82" t="n">
        <x:v>55</x:v>
      </x:c>
      <x:c r="M47" s="82" t="n">
        <x:v>75</x:v>
      </x:c>
      <x:c r="N47" s="82" t="n">
        <x:v>65</x:v>
      </x:c>
      <x:c r="O47" s="82" t="n">
        <x:v>30</x:v>
      </x:c>
      <x:c r="P47" s="82" t="str">
        <x:v>Sim</x:v>
      </x:c>
      <x:c r="Q47" s="82" t="str">
        <x:v>Não</x:v>
      </x:c>
      <x:c r="R47" s="82" t="str">
        <x:v>Rankeado</x:v>
      </x:c>
      <x:c r="S47" s="82" t="str">
        <x:v>https://poke.idleworld.online/pokepedia/pokemon/oddish</x:v>
      </x:c>
      <x:c r="T47" s="143" t="n">
        <x:f>MAX(K47,M47)*Metodologia!$B$16</x:f>
        <x:v>97.5</x:v>
      </x:c>
      <x:c r="U47" s="143" t="n">
        <x:f>MIN(K47,M47)*Metodologia!$B$16</x:f>
        <x:v>65</x:v>
      </x:c>
      <x:c r="V47" s="144" t="n">
        <x:f>SQRT(J47*AVERAGE(L47,N47)*Metodologia!$B$16)</x:f>
        <x:v>59.2452529743945</x:v>
      </x:c>
    </x:row>
    <x:row r="48" ht="22" customHeight="1">
      <x:c r="A48" s="82" t="n">
        <x:v>44</x:v>
      </x:c>
      <x:c r="B48" s="82" t="str">
        <x:v>Gloom</x:v>
      </x:c>
      <x:c r="C48" s="82" t="str">
        <x:v>Planta / Veneno</x:v>
      </x:c>
      <x:c r="D48" s="82" t="str">
        <x:v>Naturia / Malefic</x:v>
      </x:c>
      <x:c r="E48" s="82" t="n">
        <x:v>2</x:v>
      </x:c>
      <x:c r="F48" s="82" t="str">
        <x:f>IF(G48&gt;=80,"S+",IF(G48&gt;=72,"S",IF(G48&gt;=65,"A",IF(G48&gt;=58,"B",IF(G48&gt;=50,"C",IF(G48&gt;=42,"D","E"))))))</x:f>
        <x:v>C</x:v>
      </x:c>
      <x:c r="G48" s="142" t="n">
        <x:f>ROUND(100*(Metodologia!$B$17*(T48/Metodologia!$B$22)+Metodologia!$B$18*(U48/Metodologia!$B$23)+Metodologia!$B$19*(V48/Metodologia!$B$24)+Metodologia!$B$20*(O48/Metodologia!$B$25)+Metodologia!$B$21*(I48/Metodologia!$B$26)),2)</x:f>
        <x:v>51.87</x:v>
      </x:c>
      <x:c r="H48" s="82" t="n">
        <x:f>IF(R48&lt;&gt;"Rankeado","",COUNTIFS($R$5:$R$255,"Rankeado",$G$5:$G$255,"&gt;"&amp;G48)+COUNTIFS($R$5:R48,"Rankeado",$G$5:G48,G48))</x:f>
        <x:v>123</x:v>
      </x:c>
      <x:c r="I48" s="82" t="n">
        <x:f>SUM(J48:O48)</x:f>
        <x:v>395</x:v>
      </x:c>
      <x:c r="J48" s="82" t="n">
        <x:v>60</x:v>
      </x:c>
      <x:c r="K48" s="82" t="n">
        <x:v>65</x:v>
      </x:c>
      <x:c r="L48" s="82" t="n">
        <x:v>70</x:v>
      </x:c>
      <x:c r="M48" s="82" t="n">
        <x:v>85</x:v>
      </x:c>
      <x:c r="N48" s="82" t="n">
        <x:v>75</x:v>
      </x:c>
      <x:c r="O48" s="82" t="n">
        <x:v>40</x:v>
      </x:c>
      <x:c r="P48" s="82" t="str">
        <x:v>Sim</x:v>
      </x:c>
      <x:c r="Q48" s="82" t="str">
        <x:v>Não</x:v>
      </x:c>
      <x:c r="R48" s="82" t="str">
        <x:v>Rankeado</x:v>
      </x:c>
      <x:c r="S48" s="82" t="str">
        <x:v>https://poke.idleworld.online/pokepedia/pokemon/gloom</x:v>
      </x:c>
      <x:c r="T48" s="143" t="n">
        <x:f>MAX(K48,M48)*Metodologia!$B$16</x:f>
        <x:v>110.5</x:v>
      </x:c>
      <x:c r="U48" s="143" t="n">
        <x:f>MIN(K48,M48)*Metodologia!$B$16</x:f>
        <x:v>84.5</x:v>
      </x:c>
      <x:c r="V48" s="144" t="n">
        <x:f>SQRT(J48*AVERAGE(L48,N48)*Metodologia!$B$16)</x:f>
        <x:v>75.1997340420829</x:v>
      </x:c>
    </x:row>
    <x:row r="49" ht="22" customHeight="1">
      <x:c r="A49" s="82" t="n">
        <x:v>45</x:v>
      </x:c>
      <x:c r="B49" s="82" t="str">
        <x:v>Vileplume</x:v>
      </x:c>
      <x:c r="C49" s="82" t="str">
        <x:v>Planta / Veneno</x:v>
      </x:c>
      <x:c r="D49" s="82" t="str">
        <x:v>Naturia / Malefic</x:v>
      </x:c>
      <x:c r="E49" s="82" t="n">
        <x:v>2</x:v>
      </x:c>
      <x:c r="F49" s="82" t="str">
        <x:f>IF(G49&gt;=80,"S+",IF(G49&gt;=72,"S",IF(G49&gt;=65,"A",IF(G49&gt;=58,"B",IF(G49&gt;=50,"C",IF(G49&gt;=42,"D","E"))))))</x:f>
        <x:v>A</x:v>
      </x:c>
      <x:c r="G49" s="142" t="n">
        <x:f>ROUND(100*(Metodologia!$B$17*(T49/Metodologia!$B$22)+Metodologia!$B$18*(U49/Metodologia!$B$23)+Metodologia!$B$19*(V49/Metodologia!$B$24)+Metodologia!$B$20*(O49/Metodologia!$B$25)+Metodologia!$B$21*(I49/Metodologia!$B$26)),2)</x:f>
        <x:v>66</x:v>
      </x:c>
      <x:c r="H49" s="82" t="n">
        <x:f>IF(R49&lt;&gt;"Rankeado","",COUNTIFS($R$5:$R$255,"Rankeado",$G$5:$G$255,"&gt;"&amp;G49)+COUNTIFS($R$5:R49,"Rankeado",$G$5:G49,G49))</x:f>
        <x:v>36</x:v>
      </x:c>
      <x:c r="I49" s="82" t="n">
        <x:f>SUM(J49:O49)</x:f>
        <x:v>490</x:v>
      </x:c>
      <x:c r="J49" s="82" t="n">
        <x:v>75</x:v>
      </x:c>
      <x:c r="K49" s="82" t="n">
        <x:v>80</x:v>
      </x:c>
      <x:c r="L49" s="82" t="n">
        <x:v>85</x:v>
      </x:c>
      <x:c r="M49" s="82" t="n">
        <x:v>110</x:v>
      </x:c>
      <x:c r="N49" s="82" t="n">
        <x:v>90</x:v>
      </x:c>
      <x:c r="O49" s="82" t="n">
        <x:v>50</x:v>
      </x:c>
      <x:c r="P49" s="82" t="str">
        <x:v>Sim</x:v>
      </x:c>
      <x:c r="Q49" s="82" t="str">
        <x:v>Não</x:v>
      </x:c>
      <x:c r="R49" s="82" t="str">
        <x:v>Rankeado</x:v>
      </x:c>
      <x:c r="S49" s="82" t="str">
        <x:v>https://poke.idleworld.online/pokepedia/pokemon/vileplume</x:v>
      </x:c>
      <x:c r="T49" s="143" t="n">
        <x:f>MAX(K49,M49)*Metodologia!$B$16</x:f>
        <x:v>143</x:v>
      </x:c>
      <x:c r="U49" s="143" t="n">
        <x:f>MIN(K49,M49)*Metodologia!$B$16</x:f>
        <x:v>104</x:v>
      </x:c>
      <x:c r="V49" s="144" t="n">
        <x:f>SQRT(J49*AVERAGE(L49,N49)*Metodologia!$B$16)</x:f>
        <x:v>92.36476600955584</x:v>
      </x:c>
    </x:row>
    <x:row r="50" ht="22" customHeight="1">
      <x:c r="A50" s="82" t="n">
        <x:v>46</x:v>
      </x:c>
      <x:c r="B50" s="82" t="str">
        <x:v>Paras</x:v>
      </x:c>
      <x:c r="C50" s="82" t="str">
        <x:v>Inseto / Planta</x:v>
      </x:c>
      <x:c r="D50" s="82" t="str">
        <x:v>Naturia</x:v>
      </x:c>
      <x:c r="E50" s="82" t="n">
        <x:v>1</x:v>
      </x:c>
      <x:c r="F50" s="82" t="str">
        <x:f>IF(G50&gt;=80,"S+",IF(G50&gt;=72,"S",IF(G50&gt;=65,"A",IF(G50&gt;=58,"B",IF(G50&gt;=50,"C",IF(G50&gt;=42,"D","E"))))))</x:f>
        <x:v>E</x:v>
      </x:c>
      <x:c r="G50" s="142" t="n">
        <x:f>ROUND(100*(Metodologia!$B$17*(T50/Metodologia!$B$22)+Metodologia!$B$18*(U50/Metodologia!$B$23)+Metodologia!$B$19*(V50/Metodologia!$B$24)+Metodologia!$B$20*(O50/Metodologia!$B$25)+Metodologia!$B$21*(I50/Metodologia!$B$26)),2)</x:f>
        <x:v>39.97</x:v>
      </x:c>
      <x:c r="H50" s="82" t="n">
        <x:f>IF(R50&lt;&gt;"Rankeado","",COUNTIFS($R$5:$R$255,"Rankeado",$G$5:$G$255,"&gt;"&amp;G50)+COUNTIFS($R$5:R50,"Rankeado",$G$5:G50,G50))</x:f>
        <x:v>179</x:v>
      </x:c>
      <x:c r="I50" s="82" t="n">
        <x:f>SUM(J50:O50)</x:f>
        <x:v>285</x:v>
      </x:c>
      <x:c r="J50" s="82" t="n">
        <x:v>35</x:v>
      </x:c>
      <x:c r="K50" s="82" t="n">
        <x:v>70</x:v>
      </x:c>
      <x:c r="L50" s="82" t="n">
        <x:v>55</x:v>
      </x:c>
      <x:c r="M50" s="82" t="n">
        <x:v>45</x:v>
      </x:c>
      <x:c r="N50" s="82" t="n">
        <x:v>55</x:v>
      </x:c>
      <x:c r="O50" s="82" t="n">
        <x:v>25</x:v>
      </x:c>
      <x:c r="P50" s="82" t="str">
        <x:v>Sim</x:v>
      </x:c>
      <x:c r="Q50" s="82" t="str">
        <x:v>Não</x:v>
      </x:c>
      <x:c r="R50" s="82" t="str">
        <x:v>Rankeado</x:v>
      </x:c>
      <x:c r="S50" s="82" t="str">
        <x:v>https://poke.idleworld.online/pokepedia/pokemon/paras</x:v>
      </x:c>
      <x:c r="T50" s="143" t="n">
        <x:f>MAX(K50,M50)*Metodologia!$B$16</x:f>
        <x:v>91</x:v>
      </x:c>
      <x:c r="U50" s="143" t="n">
        <x:f>MIN(K50,M50)*Metodologia!$B$16</x:f>
        <x:v>58.5</x:v>
      </x:c>
      <x:c r="V50" s="144" t="n">
        <x:f>SQRT(J50*AVERAGE(L50,N50)*Metodologia!$B$16)</x:f>
        <x:v>50.02499375312305</x:v>
      </x:c>
    </x:row>
    <x:row r="51" ht="22" customHeight="1">
      <x:c r="A51" s="82" t="n">
        <x:v>47</x:v>
      </x:c>
      <x:c r="B51" s="82" t="str">
        <x:v>Parasect</x:v>
      </x:c>
      <x:c r="C51" s="82" t="str">
        <x:v>Inseto / Planta</x:v>
      </x:c>
      <x:c r="D51" s="82" t="str">
        <x:v>Naturia</x:v>
      </x:c>
      <x:c r="E51" s="82" t="n">
        <x:v>1</x:v>
      </x:c>
      <x:c r="F51" s="82" t="str">
        <x:f>IF(G51&gt;=80,"S+",IF(G51&gt;=72,"S",IF(G51&gt;=65,"A",IF(G51&gt;=58,"B",IF(G51&gt;=50,"C",IF(G51&gt;=42,"D","E"))))))</x:f>
        <x:v>C</x:v>
      </x:c>
      <x:c r="G51" s="142" t="n">
        <x:f>ROUND(100*(Metodologia!$B$17*(T51/Metodologia!$B$22)+Metodologia!$B$18*(U51/Metodologia!$B$23)+Metodologia!$B$19*(V51/Metodologia!$B$24)+Metodologia!$B$20*(O51/Metodologia!$B$25)+Metodologia!$B$21*(I51/Metodologia!$B$26)),2)</x:f>
        <x:v>55.09</x:v>
      </x:c>
      <x:c r="H51" s="82" t="n">
        <x:f>IF(R51&lt;&gt;"Rankeado","",COUNTIFS($R$5:$R$255,"Rankeado",$G$5:$G$255,"&gt;"&amp;G51)+COUNTIFS($R$5:R51,"Rankeado",$G$5:G51,G51))</x:f>
        <x:v>97</x:v>
      </x:c>
      <x:c r="I51" s="82" t="n">
        <x:f>SUM(J51:O51)</x:f>
        <x:v>405</x:v>
      </x:c>
      <x:c r="J51" s="82" t="n">
        <x:v>60</x:v>
      </x:c>
      <x:c r="K51" s="82" t="n">
        <x:v>95</x:v>
      </x:c>
      <x:c r="L51" s="82" t="n">
        <x:v>80</x:v>
      </x:c>
      <x:c r="M51" s="82" t="n">
        <x:v>60</x:v>
      </x:c>
      <x:c r="N51" s="82" t="n">
        <x:v>80</x:v>
      </x:c>
      <x:c r="O51" s="82" t="n">
        <x:v>30</x:v>
      </x:c>
      <x:c r="P51" s="82" t="str">
        <x:v>Sim</x:v>
      </x:c>
      <x:c r="Q51" s="82" t="str">
        <x:v>Não</x:v>
      </x:c>
      <x:c r="R51" s="82" t="str">
        <x:v>Rankeado</x:v>
      </x:c>
      <x:c r="S51" s="82" t="str">
        <x:v>https://poke.idleworld.online/pokepedia/pokemon/parasect</x:v>
      </x:c>
      <x:c r="T51" s="143" t="n">
        <x:f>MAX(K51,M51)*Metodologia!$B$16</x:f>
        <x:v>123.5</x:v>
      </x:c>
      <x:c r="U51" s="143" t="n">
        <x:f>MIN(K51,M51)*Metodologia!$B$16</x:f>
        <x:v>78</x:v>
      </x:c>
      <x:c r="V51" s="144" t="n">
        <x:f>SQRT(J51*AVERAGE(L51,N51)*Metodologia!$B$16)</x:f>
        <x:v>78.99367063252599</x:v>
      </x:c>
    </x:row>
    <x:row r="52" ht="22" customHeight="1">
      <x:c r="A52" s="82" t="n">
        <x:v>48</x:v>
      </x:c>
      <x:c r="B52" s="82" t="str">
        <x:v>Venonat</x:v>
      </x:c>
      <x:c r="C52" s="82" t="str">
        <x:v>Inseto / Veneno</x:v>
      </x:c>
      <x:c r="D52" s="82" t="str">
        <x:v>Naturia / Malefic</x:v>
      </x:c>
      <x:c r="E52" s="82" t="n">
        <x:v>2</x:v>
      </x:c>
      <x:c r="F52" s="82" t="str">
        <x:f>IF(G52&gt;=80,"S+",IF(G52&gt;=72,"S",IF(G52&gt;=65,"A",IF(G52&gt;=58,"B",IF(G52&gt;=50,"C",IF(G52&gt;=42,"D","E"))))))</x:f>
        <x:v>E</x:v>
      </x:c>
      <x:c r="G52" s="142" t="n">
        <x:f>ROUND(100*(Metodologia!$B$17*(T52/Metodologia!$B$22)+Metodologia!$B$18*(U52/Metodologia!$B$23)+Metodologia!$B$19*(V52/Metodologia!$B$24)+Metodologia!$B$20*(O52/Metodologia!$B$25)+Metodologia!$B$21*(I52/Metodologia!$B$26)),2)</x:f>
        <x:v>36.5</x:v>
      </x:c>
      <x:c r="H52" s="82" t="n">
        <x:f>IF(R52&lt;&gt;"Rankeado","",COUNTIFS($R$5:$R$255,"Rankeado",$G$5:$G$255,"&gt;"&amp;G52)+COUNTIFS($R$5:R52,"Rankeado",$G$5:G52,G52))</x:f>
        <x:v>198</x:v>
      </x:c>
      <x:c r="I52" s="82" t="n">
        <x:f>SUM(J52:O52)</x:f>
        <x:v>305</x:v>
      </x:c>
      <x:c r="J52" s="82" t="n">
        <x:v>60</x:v>
      </x:c>
      <x:c r="K52" s="82" t="n">
        <x:v>55</x:v>
      </x:c>
      <x:c r="L52" s="82" t="n">
        <x:v>50</x:v>
      </x:c>
      <x:c r="M52" s="82" t="n">
        <x:v>40</x:v>
      </x:c>
      <x:c r="N52" s="82" t="n">
        <x:v>55</x:v>
      </x:c>
      <x:c r="O52" s="82" t="n">
        <x:v>45</x:v>
      </x:c>
      <x:c r="P52" s="82" t="str">
        <x:v>Sim</x:v>
      </x:c>
      <x:c r="Q52" s="82" t="str">
        <x:v>Não</x:v>
      </x:c>
      <x:c r="R52" s="82" t="str">
        <x:v>Rankeado</x:v>
      </x:c>
      <x:c r="S52" s="82" t="str">
        <x:v>https://poke.idleworld.online/pokepedia/pokemon/venonat</x:v>
      </x:c>
      <x:c r="T52" s="143" t="n">
        <x:f>MAX(K52,M52)*Metodologia!$B$16</x:f>
        <x:v>71.5</x:v>
      </x:c>
      <x:c r="U52" s="143" t="n">
        <x:f>MIN(K52,M52)*Metodologia!$B$16</x:f>
        <x:v>52</x:v>
      </x:c>
      <x:c r="V52" s="144" t="n">
        <x:f>SQRT(J52*AVERAGE(L52,N52)*Metodologia!$B$16)</x:f>
        <x:v>63.99218702310463</x:v>
      </x:c>
    </x:row>
    <x:row r="53" ht="22" customHeight="1">
      <x:c r="A53" s="82" t="n">
        <x:v>49</x:v>
      </x:c>
      <x:c r="B53" s="82" t="str">
        <x:v>Venomoth</x:v>
      </x:c>
      <x:c r="C53" s="82" t="str">
        <x:v>Inseto / Veneno</x:v>
      </x:c>
      <x:c r="D53" s="82" t="str">
        <x:v>Naturia / Malefic</x:v>
      </x:c>
      <x:c r="E53" s="82" t="n">
        <x:v>2</x:v>
      </x:c>
      <x:c r="F53" s="82" t="str">
        <x:f>IF(G53&gt;=80,"S+",IF(G53&gt;=72,"S",IF(G53&gt;=65,"A",IF(G53&gt;=58,"B",IF(G53&gt;=50,"C",IF(G53&gt;=42,"D","E"))))))</x:f>
        <x:v>C</x:v>
      </x:c>
      <x:c r="G53" s="142" t="n">
        <x:f>ROUND(100*(Metodologia!$B$17*(T53/Metodologia!$B$22)+Metodologia!$B$18*(U53/Metodologia!$B$23)+Metodologia!$B$19*(V53/Metodologia!$B$24)+Metodologia!$B$20*(O53/Metodologia!$B$25)+Metodologia!$B$21*(I53/Metodologia!$B$26)),2)</x:f>
        <x:v>57.87</x:v>
      </x:c>
      <x:c r="H53" s="82" t="n">
        <x:f>IF(R53&lt;&gt;"Rankeado","",COUNTIFS($R$5:$R$255,"Rankeado",$G$5:$G$255,"&gt;"&amp;G53)+COUNTIFS($R$5:R53,"Rankeado",$G$5:G53,G53))</x:f>
        <x:v>82</x:v>
      </x:c>
      <x:c r="I53" s="82" t="n">
        <x:f>SUM(J53:O53)</x:f>
        <x:v>450</x:v>
      </x:c>
      <x:c r="J53" s="82" t="n">
        <x:v>70</x:v>
      </x:c>
      <x:c r="K53" s="82" t="n">
        <x:v>65</x:v>
      </x:c>
      <x:c r="L53" s="82" t="n">
        <x:v>60</x:v>
      </x:c>
      <x:c r="M53" s="82" t="n">
        <x:v>90</x:v>
      </x:c>
      <x:c r="N53" s="82" t="n">
        <x:v>75</x:v>
      </x:c>
      <x:c r="O53" s="82" t="n">
        <x:v>90</x:v>
      </x:c>
      <x:c r="P53" s="82" t="str">
        <x:v>Sim</x:v>
      </x:c>
      <x:c r="Q53" s="82" t="str">
        <x:v>Não</x:v>
      </x:c>
      <x:c r="R53" s="82" t="str">
        <x:v>Rankeado</x:v>
      </x:c>
      <x:c r="S53" s="82" t="str">
        <x:v>https://poke.idleworld.online/pokepedia/pokemon/venomoth</x:v>
      </x:c>
      <x:c r="T53" s="143" t="n">
        <x:f>MAX(K53,M53)*Metodologia!$B$16</x:f>
        <x:v>117</x:v>
      </x:c>
      <x:c r="U53" s="143" t="n">
        <x:f>MIN(K53,M53)*Metodologia!$B$16</x:f>
        <x:v>84.5</x:v>
      </x:c>
      <x:c r="V53" s="144" t="n">
        <x:f>SQRT(J53*AVERAGE(L53,N53)*Metodologia!$B$16)</x:f>
        <x:v>78.3741028656788</x:v>
      </x:c>
    </x:row>
    <x:row r="54" ht="22" customHeight="1">
      <x:c r="A54" s="82" t="n">
        <x:v>50</x:v>
      </x:c>
      <x:c r="B54" s="82" t="str">
        <x:v>Diglett</x:v>
      </x:c>
      <x:c r="C54" s="82" t="str">
        <x:v>Terra</x:v>
      </x:c>
      <x:c r="D54" s="82" t="str">
        <x:v>Orebound</x:v>
      </x:c>
      <x:c r="E54" s="82" t="n">
        <x:v>1</x:v>
      </x:c>
      <x:c r="F54" s="82" t="str">
        <x:f>IF(G54&gt;=80,"S+",IF(G54&gt;=72,"S",IF(G54&gt;=65,"A",IF(G54&gt;=58,"B",IF(G54&gt;=50,"C",IF(G54&gt;=42,"D","E"))))))</x:f>
        <x:v>E</x:v>
      </x:c>
      <x:c r="G54" s="142" t="n">
        <x:f>ROUND(100*(Metodologia!$B$17*(T54/Metodologia!$B$22)+Metodologia!$B$18*(U54/Metodologia!$B$23)+Metodologia!$B$19*(V54/Metodologia!$B$24)+Metodologia!$B$20*(O54/Metodologia!$B$25)+Metodologia!$B$21*(I54/Metodologia!$B$26)),2)</x:f>
        <x:v>34.96</x:v>
      </x:c>
      <x:c r="H54" s="82" t="n">
        <x:f>IF(R54&lt;&gt;"Rankeado","",COUNTIFS($R$5:$R$255,"Rankeado",$G$5:$G$255,"&gt;"&amp;G54)+COUNTIFS($R$5:R54,"Rankeado",$G$5:G54,G54))</x:f>
        <x:v>204</x:v>
      </x:c>
      <x:c r="I54" s="82" t="n">
        <x:f>SUM(J54:O54)</x:f>
        <x:v>265</x:v>
      </x:c>
      <x:c r="J54" s="82" t="n">
        <x:v>10</x:v>
      </x:c>
      <x:c r="K54" s="82" t="n">
        <x:v>55</x:v>
      </x:c>
      <x:c r="L54" s="82" t="n">
        <x:v>25</x:v>
      </x:c>
      <x:c r="M54" s="82" t="n">
        <x:v>35</x:v>
      </x:c>
      <x:c r="N54" s="82" t="n">
        <x:v>45</x:v>
      </x:c>
      <x:c r="O54" s="82" t="n">
        <x:v>95</x:v>
      </x:c>
      <x:c r="P54" s="82" t="str">
        <x:v>Sim</x:v>
      </x:c>
      <x:c r="Q54" s="82" t="str">
        <x:v>Não</x:v>
      </x:c>
      <x:c r="R54" s="82" t="str">
        <x:v>Rankeado</x:v>
      </x:c>
      <x:c r="S54" s="82" t="str">
        <x:v>https://poke.idleworld.online/pokepedia/pokemon/diglett</x:v>
      </x:c>
      <x:c r="T54" s="143" t="n">
        <x:f>MAX(K54,M54)*Metodologia!$B$16</x:f>
        <x:v>71.5</x:v>
      </x:c>
      <x:c r="U54" s="143" t="n">
        <x:f>MIN(K54,M54)*Metodologia!$B$16</x:f>
        <x:v>45.5</x:v>
      </x:c>
      <x:c r="V54" s="144" t="n">
        <x:f>SQRT(J54*AVERAGE(L54,N54)*Metodologia!$B$16)</x:f>
        <x:v>21.330729007701542</x:v>
      </x:c>
    </x:row>
    <x:row r="55" ht="22" customHeight="1">
      <x:c r="A55" s="82" t="n">
        <x:v>51</x:v>
      </x:c>
      <x:c r="B55" s="82" t="str">
        <x:v>Dugtrio</x:v>
      </x:c>
      <x:c r="C55" s="82" t="str">
        <x:v>Terra</x:v>
      </x:c>
      <x:c r="D55" s="82" t="str">
        <x:v>Orebound</x:v>
      </x:c>
      <x:c r="E55" s="82" t="n">
        <x:v>1</x:v>
      </x:c>
      <x:c r="F55" s="82" t="str">
        <x:f>IF(G55&gt;=80,"S+",IF(G55&gt;=72,"S",IF(G55&gt;=65,"A",IF(G55&gt;=58,"B",IF(G55&gt;=50,"C",IF(G55&gt;=42,"D","E"))))))</x:f>
        <x:v>B</x:v>
      </x:c>
      <x:c r="G55" s="142" t="n">
        <x:f>ROUND(100*(Metodologia!$B$17*(T55/Metodologia!$B$22)+Metodologia!$B$18*(U55/Metodologia!$B$23)+Metodologia!$B$19*(V55/Metodologia!$B$24)+Metodologia!$B$20*(O55/Metodologia!$B$25)+Metodologia!$B$21*(I55/Metodologia!$B$26)),2)</x:f>
        <x:v>59.69</x:v>
      </x:c>
      <x:c r="H55" s="82" t="n">
        <x:f>IF(R55&lt;&gt;"Rankeado","",COUNTIFS($R$5:$R$255,"Rankeado",$G$5:$G$255,"&gt;"&amp;G55)+COUNTIFS($R$5:R55,"Rankeado",$G$5:G55,G55))</x:f>
        <x:v>70</x:v>
      </x:c>
      <x:c r="I55" s="82" t="n">
        <x:f>SUM(J55:O55)</x:f>
        <x:v>425</x:v>
      </x:c>
      <x:c r="J55" s="82" t="n">
        <x:v>35</x:v>
      </x:c>
      <x:c r="K55" s="82" t="n">
        <x:v>100</x:v>
      </x:c>
      <x:c r="L55" s="82" t="n">
        <x:v>50</x:v>
      </x:c>
      <x:c r="M55" s="82" t="n">
        <x:v>50</x:v>
      </x:c>
      <x:c r="N55" s="82" t="n">
        <x:v>70</x:v>
      </x:c>
      <x:c r="O55" s="82" t="n">
        <x:v>120</x:v>
      </x:c>
      <x:c r="P55" s="82" t="str">
        <x:v>Sim</x:v>
      </x:c>
      <x:c r="Q55" s="82" t="str">
        <x:v>Não</x:v>
      </x:c>
      <x:c r="R55" s="82" t="str">
        <x:v>Rankeado</x:v>
      </x:c>
      <x:c r="S55" s="82" t="str">
        <x:v>https://poke.idleworld.online/pokepedia/pokemon/dugtrio</x:v>
      </x:c>
      <x:c r="T55" s="143" t="n">
        <x:f>MAX(K55,M55)*Metodologia!$B$16</x:f>
        <x:v>130</x:v>
      </x:c>
      <x:c r="U55" s="143" t="n">
        <x:f>MIN(K55,M55)*Metodologia!$B$16</x:f>
        <x:v>65</x:v>
      </x:c>
      <x:c r="V55" s="144" t="n">
        <x:f>SQRT(J55*AVERAGE(L55,N55)*Metodologia!$B$16)</x:f>
        <x:v>52.24940191045253</x:v>
      </x:c>
    </x:row>
    <x:row r="56" ht="22" customHeight="1">
      <x:c r="A56" s="82" t="n">
        <x:v>52</x:v>
      </x:c>
      <x:c r="B56" s="82" t="str">
        <x:v>Meowth</x:v>
      </x:c>
      <x:c r="C56" s="82" t="str">
        <x:v>Normal</x:v>
      </x:c>
      <x:c r="D56" s="82" t="str">
        <x:v>Gardestrike</x:v>
      </x:c>
      <x:c r="E56" s="82" t="n">
        <x:v>1</x:v>
      </x:c>
      <x:c r="F56" s="82" t="str">
        <x:f>IF(G56&gt;=80,"S+",IF(G56&gt;=72,"S",IF(G56&gt;=65,"A",IF(G56&gt;=58,"B",IF(G56&gt;=50,"C",IF(G56&gt;=42,"D","E"))))))</x:f>
        <x:v>E</x:v>
      </x:c>
      <x:c r="G56" s="142" t="n">
        <x:f>ROUND(100*(Metodologia!$B$17*(T56/Metodologia!$B$22)+Metodologia!$B$18*(U56/Metodologia!$B$23)+Metodologia!$B$19*(V56/Metodologia!$B$24)+Metodologia!$B$20*(O56/Metodologia!$B$25)+Metodologia!$B$21*(I56/Metodologia!$B$26)),2)</x:f>
        <x:v>33.57</x:v>
      </x:c>
      <x:c r="H56" s="82" t="n">
        <x:f>IF(R56&lt;&gt;"Rankeado","",COUNTIFS($R$5:$R$255,"Rankeado",$G$5:$G$255,"&gt;"&amp;G56)+COUNTIFS($R$5:R56,"Rankeado",$G$5:G56,G56))</x:f>
        <x:v>215</x:v>
      </x:c>
      <x:c r="I56" s="82" t="n">
        <x:f>SUM(J56:O56)</x:f>
        <x:v>290</x:v>
      </x:c>
      <x:c r="J56" s="82" t="n">
        <x:v>40</x:v>
      </x:c>
      <x:c r="K56" s="82" t="n">
        <x:v>45</x:v>
      </x:c>
      <x:c r="L56" s="82" t="n">
        <x:v>35</x:v>
      </x:c>
      <x:c r="M56" s="82" t="n">
        <x:v>40</x:v>
      </x:c>
      <x:c r="N56" s="82" t="n">
        <x:v>40</x:v>
      </x:c>
      <x:c r="O56" s="82" t="n">
        <x:v>90</x:v>
      </x:c>
      <x:c r="P56" s="82" t="str">
        <x:v>Sim</x:v>
      </x:c>
      <x:c r="Q56" s="82" t="str">
        <x:v>Não</x:v>
      </x:c>
      <x:c r="R56" s="82" t="str">
        <x:v>Rankeado</x:v>
      </x:c>
      <x:c r="S56" s="82" t="str">
        <x:v>https://poke.idleworld.online/pokepedia/pokemon/meowth</x:v>
      </x:c>
      <x:c r="T56" s="143" t="n">
        <x:f>MAX(K56,M56)*Metodologia!$B$16</x:f>
        <x:v>58.5</x:v>
      </x:c>
      <x:c r="U56" s="143" t="n">
        <x:f>MIN(K56,M56)*Metodologia!$B$16</x:f>
        <x:v>52</x:v>
      </x:c>
      <x:c r="V56" s="144" t="n">
        <x:f>SQRT(J56*AVERAGE(L56,N56)*Metodologia!$B$16)</x:f>
        <x:v>44.15880433163923</x:v>
      </x:c>
    </x:row>
    <x:row r="57" ht="22" customHeight="1">
      <x:c r="A57" s="82" t="n">
        <x:v>53</x:v>
      </x:c>
      <x:c r="B57" s="82" t="str">
        <x:v>Persian</x:v>
      </x:c>
      <x:c r="C57" s="82" t="str">
        <x:v>Normal</x:v>
      </x:c>
      <x:c r="D57" s="82" t="str">
        <x:v>Gardestrike</x:v>
      </x:c>
      <x:c r="E57" s="82" t="n">
        <x:v>1</x:v>
      </x:c>
      <x:c r="F57" s="82" t="str">
        <x:f>IF(G57&gt;=80,"S+",IF(G57&gt;=72,"S",IF(G57&gt;=65,"A",IF(G57&gt;=58,"B",IF(G57&gt;=50,"C",IF(G57&gt;=42,"D","E"))))))</x:f>
        <x:v>C</x:v>
      </x:c>
      <x:c r="G57" s="142" t="n">
        <x:f>ROUND(100*(Metodologia!$B$17*(T57/Metodologia!$B$22)+Metodologia!$B$18*(U57/Metodologia!$B$23)+Metodologia!$B$19*(V57/Metodologia!$B$24)+Metodologia!$B$20*(O57/Metodologia!$B$25)+Metodologia!$B$21*(I57/Metodologia!$B$26)),2)</x:f>
        <x:v>51.12</x:v>
      </x:c>
      <x:c r="H57" s="82" t="n">
        <x:f>IF(R57&lt;&gt;"Rankeado","",COUNTIFS($R$5:$R$255,"Rankeado",$G$5:$G$255,"&gt;"&amp;G57)+COUNTIFS($R$5:R57,"Rankeado",$G$5:G57,G57))</x:f>
        <x:v>126</x:v>
      </x:c>
      <x:c r="I57" s="82" t="n">
        <x:f>SUM(J57:O57)</x:f>
        <x:v>440</x:v>
      </x:c>
      <x:c r="J57" s="82" t="n">
        <x:v>65</x:v>
      </x:c>
      <x:c r="K57" s="82" t="n">
        <x:v>70</x:v>
      </x:c>
      <x:c r="L57" s="82" t="n">
        <x:v>60</x:v>
      </x:c>
      <x:c r="M57" s="82" t="n">
        <x:v>65</x:v>
      </x:c>
      <x:c r="N57" s="82" t="n">
        <x:v>65</x:v>
      </x:c>
      <x:c r="O57" s="82" t="n">
        <x:v>115</x:v>
      </x:c>
      <x:c r="P57" s="82" t="str">
        <x:v>Sim</x:v>
      </x:c>
      <x:c r="Q57" s="82" t="str">
        <x:v>Não</x:v>
      </x:c>
      <x:c r="R57" s="82" t="str">
        <x:v>Rankeado</x:v>
      </x:c>
      <x:c r="S57" s="82" t="str">
        <x:v>https://poke.idleworld.online/pokepedia/pokemon/persian</x:v>
      </x:c>
      <x:c r="T57" s="143" t="n">
        <x:f>MAX(K57,M57)*Metodologia!$B$16</x:f>
        <x:v>91</x:v>
      </x:c>
      <x:c r="U57" s="143" t="n">
        <x:f>MIN(K57,M57)*Metodologia!$B$16</x:f>
        <x:v>84.5</x:v>
      </x:c>
      <x:c r="V57" s="144" t="n">
        <x:f>SQRT(J57*AVERAGE(L57,N57)*Metodologia!$B$16)</x:f>
        <x:v>72.67220926874316</x:v>
      </x:c>
    </x:row>
    <x:row r="58" ht="22" customHeight="1">
      <x:c r="A58" s="82" t="n">
        <x:v>54</x:v>
      </x:c>
      <x:c r="B58" s="82" t="str">
        <x:v>Psyduck</x:v>
      </x:c>
      <x:c r="C58" s="82" t="str">
        <x:v>Água</x:v>
      </x:c>
      <x:c r="D58" s="82" t="str">
        <x:v>Seavell</x:v>
      </x:c>
      <x:c r="E58" s="82" t="n">
        <x:v>1</x:v>
      </x:c>
      <x:c r="F58" s="82" t="str">
        <x:f>IF(G58&gt;=80,"S+",IF(G58&gt;=72,"S",IF(G58&gt;=65,"A",IF(G58&gt;=58,"B",IF(G58&gt;=50,"C",IF(G58&gt;=42,"D","E"))))))</x:f>
        <x:v>E</x:v>
      </x:c>
      <x:c r="G58" s="142" t="n">
        <x:f>ROUND(100*(Metodologia!$B$17*(T58/Metodologia!$B$22)+Metodologia!$B$18*(U58/Metodologia!$B$23)+Metodologia!$B$19*(V58/Metodologia!$B$24)+Metodologia!$B$20*(O58/Metodologia!$B$25)+Metodologia!$B$21*(I58/Metodologia!$B$26)),2)</x:f>
        <x:v>41.53</x:v>
      </x:c>
      <x:c r="H58" s="82" t="n">
        <x:f>IF(R58&lt;&gt;"Rankeado","",COUNTIFS($R$5:$R$255,"Rankeado",$G$5:$G$255,"&gt;"&amp;G58)+COUNTIFS($R$5:R58,"Rankeado",$G$5:G58,G58))</x:f>
        <x:v>172</x:v>
      </x:c>
      <x:c r="I58" s="82" t="n">
        <x:f>SUM(J58:O58)</x:f>
        <x:v>320</x:v>
      </x:c>
      <x:c r="J58" s="82" t="n">
        <x:v>50</x:v>
      </x:c>
      <x:c r="K58" s="82" t="n">
        <x:v>52</x:v>
      </x:c>
      <x:c r="L58" s="82" t="n">
        <x:v>48</x:v>
      </x:c>
      <x:c r="M58" s="82" t="n">
        <x:v>65</x:v>
      </x:c>
      <x:c r="N58" s="82" t="n">
        <x:v>50</x:v>
      </x:c>
      <x:c r="O58" s="82" t="n">
        <x:v>55</x:v>
      </x:c>
      <x:c r="P58" s="82" t="str">
        <x:v>Sim</x:v>
      </x:c>
      <x:c r="Q58" s="82" t="str">
        <x:v>Não</x:v>
      </x:c>
      <x:c r="R58" s="82" t="str">
        <x:v>Rankeado</x:v>
      </x:c>
      <x:c r="S58" s="82" t="str">
        <x:v>https://poke.idleworld.online/pokepedia/pokemon/psyduck</x:v>
      </x:c>
      <x:c r="T58" s="143" t="n">
        <x:f>MAX(K58,M58)*Metodologia!$B$16</x:f>
        <x:v>84.5</x:v>
      </x:c>
      <x:c r="U58" s="143" t="n">
        <x:f>MIN(K58,M58)*Metodologia!$B$16</x:f>
        <x:v>67.60000000000001</x:v>
      </x:c>
      <x:c r="V58" s="144" t="n">
        <x:f>SQRT(J58*AVERAGE(L58,N58)*Metodologia!$B$16)</x:f>
        <x:v>56.43580423808985</x:v>
      </x:c>
    </x:row>
    <x:row r="59" ht="22" customHeight="1">
      <x:c r="A59" s="82" t="n">
        <x:v>55</x:v>
      </x:c>
      <x:c r="B59" s="82" t="str">
        <x:v>Golduck</x:v>
      </x:c>
      <x:c r="C59" s="82" t="str">
        <x:v>Água</x:v>
      </x:c>
      <x:c r="D59" s="82" t="str">
        <x:v>Seavell</x:v>
      </x:c>
      <x:c r="E59" s="82" t="n">
        <x:v>1</x:v>
      </x:c>
      <x:c r="F59" s="82" t="str">
        <x:f>IF(G59&gt;=80,"S+",IF(G59&gt;=72,"S",IF(G59&gt;=65,"A",IF(G59&gt;=58,"B",IF(G59&gt;=50,"C",IF(G59&gt;=42,"D","E"))))))</x:f>
        <x:v>B</x:v>
      </x:c>
      <x:c r="G59" s="142" t="n">
        <x:f>ROUND(100*(Metodologia!$B$17*(T59/Metodologia!$B$22)+Metodologia!$B$18*(U59/Metodologia!$B$23)+Metodologia!$B$19*(V59/Metodologia!$B$24)+Metodologia!$B$20*(O59/Metodologia!$B$25)+Metodologia!$B$21*(I59/Metodologia!$B$26)),2)</x:f>
        <x:v>62.58</x:v>
      </x:c>
      <x:c r="H59" s="82" t="n">
        <x:f>IF(R59&lt;&gt;"Rankeado","",COUNTIFS($R$5:$R$255,"Rankeado",$G$5:$G$255,"&gt;"&amp;G59)+COUNTIFS($R$5:R59,"Rankeado",$G$5:G59,G59))</x:f>
        <x:v>52</x:v>
      </x:c>
      <x:c r="I59" s="82" t="n">
        <x:f>SUM(J59:O59)</x:f>
        <x:v>500</x:v>
      </x:c>
      <x:c r="J59" s="82" t="n">
        <x:v>80</x:v>
      </x:c>
      <x:c r="K59" s="82" t="n">
        <x:v>82</x:v>
      </x:c>
      <x:c r="L59" s="82" t="n">
        <x:v>78</x:v>
      </x:c>
      <x:c r="M59" s="82" t="n">
        <x:v>95</x:v>
      </x:c>
      <x:c r="N59" s="82" t="n">
        <x:v>80</x:v>
      </x:c>
      <x:c r="O59" s="82" t="n">
        <x:v>85</x:v>
      </x:c>
      <x:c r="P59" s="82" t="str">
        <x:v>Sim</x:v>
      </x:c>
      <x:c r="Q59" s="82" t="str">
        <x:v>Não</x:v>
      </x:c>
      <x:c r="R59" s="82" t="str">
        <x:v>Rankeado</x:v>
      </x:c>
      <x:c r="S59" s="82" t="str">
        <x:v>https://poke.idleworld.online/pokepedia/pokemon/golduck</x:v>
      </x:c>
      <x:c r="T59" s="143" t="n">
        <x:f>MAX(K59,M59)*Metodologia!$B$16</x:f>
        <x:v>123.5</x:v>
      </x:c>
      <x:c r="U59" s="143" t="n">
        <x:f>MIN(K59,M59)*Metodologia!$B$16</x:f>
        <x:v>106.60000000000001</x:v>
      </x:c>
      <x:c r="V59" s="144" t="n">
        <x:f>SQRT(J59*AVERAGE(L59,N59)*Metodologia!$B$16)</x:f>
        <x:v>90.64215354899729</x:v>
      </x:c>
    </x:row>
    <x:row r="60" ht="22" customHeight="1">
      <x:c r="A60" s="82" t="n">
        <x:v>56</x:v>
      </x:c>
      <x:c r="B60" s="82" t="str">
        <x:v>Mankey</x:v>
      </x:c>
      <x:c r="C60" s="82" t="str">
        <x:v>Lutador</x:v>
      </x:c>
      <x:c r="D60" s="82" t="str">
        <x:v>Gardestrike</x:v>
      </x:c>
      <x:c r="E60" s="82" t="n">
        <x:v>1</x:v>
      </x:c>
      <x:c r="F60" s="82" t="str">
        <x:f>IF(G60&gt;=80,"S+",IF(G60&gt;=72,"S",IF(G60&gt;=65,"A",IF(G60&gt;=58,"B",IF(G60&gt;=50,"C",IF(G60&gt;=42,"D","E"))))))</x:f>
        <x:v>D</x:v>
      </x:c>
      <x:c r="G60" s="142" t="n">
        <x:f>ROUND(100*(Metodologia!$B$17*(T60/Metodologia!$B$22)+Metodologia!$B$18*(U60/Metodologia!$B$23)+Metodologia!$B$19*(V60/Metodologia!$B$24)+Metodologia!$B$20*(O60/Metodologia!$B$25)+Metodologia!$B$21*(I60/Metodologia!$B$26)),2)</x:f>
        <x:v>45.67</x:v>
      </x:c>
      <x:c r="H60" s="82" t="n">
        <x:f>IF(R60&lt;&gt;"Rankeado","",COUNTIFS($R$5:$R$255,"Rankeado",$G$5:$G$255,"&gt;"&amp;G60)+COUNTIFS($R$5:R60,"Rankeado",$G$5:G60,G60))</x:f>
        <x:v>150</x:v>
      </x:c>
      <x:c r="I60" s="82" t="n">
        <x:f>SUM(J60:O60)</x:f>
        <x:v>305</x:v>
      </x:c>
      <x:c r="J60" s="82" t="n">
        <x:v>40</x:v>
      </x:c>
      <x:c r="K60" s="82" t="n">
        <x:v>80</x:v>
      </x:c>
      <x:c r="L60" s="82" t="n">
        <x:v>35</x:v>
      </x:c>
      <x:c r="M60" s="82" t="n">
        <x:v>35</x:v>
      </x:c>
      <x:c r="N60" s="82" t="n">
        <x:v>45</x:v>
      </x:c>
      <x:c r="O60" s="82" t="n">
        <x:v>70</x:v>
      </x:c>
      <x:c r="P60" s="82" t="str">
        <x:v>Sim</x:v>
      </x:c>
      <x:c r="Q60" s="82" t="str">
        <x:v>Não</x:v>
      </x:c>
      <x:c r="R60" s="82" t="str">
        <x:v>Rankeado</x:v>
      </x:c>
      <x:c r="S60" s="82" t="str">
        <x:v>https://poke.idleworld.online/pokepedia/pokemon/mankey</x:v>
      </x:c>
      <x:c r="T60" s="143" t="n">
        <x:f>MAX(K60,M60)*Metodologia!$B$16</x:f>
        <x:v>104</x:v>
      </x:c>
      <x:c r="U60" s="143" t="n">
        <x:f>MIN(K60,M60)*Metodologia!$B$16</x:f>
        <x:v>45.5</x:v>
      </x:c>
      <x:c r="V60" s="144" t="n">
        <x:f>SQRT(J60*AVERAGE(L60,N60)*Metodologia!$B$16)</x:f>
        <x:v>45.60701700396552</x:v>
      </x:c>
    </x:row>
    <x:row r="61" ht="22" customHeight="1">
      <x:c r="A61" s="82" t="n">
        <x:v>57</x:v>
      </x:c>
      <x:c r="B61" s="82" t="str">
        <x:v>Primeape</x:v>
      </x:c>
      <x:c r="C61" s="82" t="str">
        <x:v>Lutador</x:v>
      </x:c>
      <x:c r="D61" s="82" t="str">
        <x:v>Gardestrike</x:v>
      </x:c>
      <x:c r="E61" s="82" t="n">
        <x:v>1</x:v>
      </x:c>
      <x:c r="F61" s="82" t="str">
        <x:f>IF(G61&gt;=80,"S+",IF(G61&gt;=72,"S",IF(G61&gt;=65,"A",IF(G61&gt;=58,"B",IF(G61&gt;=50,"C",IF(G61&gt;=42,"D","E"))))))</x:f>
        <x:v>B</x:v>
      </x:c>
      <x:c r="G61" s="142" t="n">
        <x:f>ROUND(100*(Metodologia!$B$17*(T61/Metodologia!$B$22)+Metodologia!$B$18*(U61/Metodologia!$B$23)+Metodologia!$B$19*(V61/Metodologia!$B$24)+Metodologia!$B$20*(O61/Metodologia!$B$25)+Metodologia!$B$21*(I61/Metodologia!$B$26)),2)</x:f>
        <x:v>63.21</x:v>
      </x:c>
      <x:c r="H61" s="82" t="n">
        <x:f>IF(R61&lt;&gt;"Rankeado","",COUNTIFS($R$5:$R$255,"Rankeado",$G$5:$G$255,"&gt;"&amp;G61)+COUNTIFS($R$5:R61,"Rankeado",$G$5:G61,G61))</x:f>
        <x:v>49</x:v>
      </x:c>
      <x:c r="I61" s="82" t="n">
        <x:f>SUM(J61:O61)</x:f>
        <x:v>455</x:v>
      </x:c>
      <x:c r="J61" s="82" t="n">
        <x:v>65</x:v>
      </x:c>
      <x:c r="K61" s="82" t="n">
        <x:v>105</x:v>
      </x:c>
      <x:c r="L61" s="82" t="n">
        <x:v>60</x:v>
      </x:c>
      <x:c r="M61" s="82" t="n">
        <x:v>60</x:v>
      </x:c>
      <x:c r="N61" s="82" t="n">
        <x:v>70</x:v>
      </x:c>
      <x:c r="O61" s="82" t="n">
        <x:v>95</x:v>
      </x:c>
      <x:c r="P61" s="82" t="str">
        <x:v>Sim</x:v>
      </x:c>
      <x:c r="Q61" s="82" t="str">
        <x:v>Não</x:v>
      </x:c>
      <x:c r="R61" s="82" t="str">
        <x:v>Rankeado</x:v>
      </x:c>
      <x:c r="S61" s="82" t="str">
        <x:v>https://poke.idleworld.online/pokepedia/pokemon/primeape</x:v>
      </x:c>
      <x:c r="T61" s="143" t="n">
        <x:f>MAX(K61,M61)*Metodologia!$B$16</x:f>
        <x:v>136.5</x:v>
      </x:c>
      <x:c r="U61" s="143" t="n">
        <x:f>MIN(K61,M61)*Metodologia!$B$16</x:f>
        <x:v>78</x:v>
      </x:c>
      <x:c r="V61" s="144" t="n">
        <x:f>SQRT(J61*AVERAGE(L61,N61)*Metodologia!$B$16)</x:f>
        <x:v>74.11140263144397</x:v>
      </x:c>
    </x:row>
    <x:row r="62" ht="22" customHeight="1">
      <x:c r="A62" s="82" t="n">
        <x:v>58</x:v>
      </x:c>
      <x:c r="B62" s="82" t="str">
        <x:v>Growlithe</x:v>
      </x:c>
      <x:c r="C62" s="82" t="str">
        <x:v>Fogo</x:v>
      </x:c>
      <x:c r="D62" s="82" t="str">
        <x:v>Volcanic</x:v>
      </x:c>
      <x:c r="E62" s="82" t="n">
        <x:v>1</x:v>
      </x:c>
      <x:c r="F62" s="82" t="str">
        <x:f>IF(G62&gt;=80,"S+",IF(G62&gt;=72,"S",IF(G62&gt;=65,"A",IF(G62&gt;=58,"B",IF(G62&gt;=50,"C",IF(G62&gt;=42,"D","E"))))))</x:f>
        <x:v>D</x:v>
      </x:c>
      <x:c r="G62" s="142" t="n">
        <x:f>ROUND(100*(Metodologia!$B$17*(T62/Metodologia!$B$22)+Metodologia!$B$18*(U62/Metodologia!$B$23)+Metodologia!$B$19*(V62/Metodologia!$B$24)+Metodologia!$B$20*(O62/Metodologia!$B$25)+Metodologia!$B$21*(I62/Metodologia!$B$26)),2)</x:f>
        <x:v>45.85</x:v>
      </x:c>
      <x:c r="H62" s="82" t="n">
        <x:f>IF(R62&lt;&gt;"Rankeado","",COUNTIFS($R$5:$R$255,"Rankeado",$G$5:$G$255,"&gt;"&amp;G62)+COUNTIFS($R$5:R62,"Rankeado",$G$5:G62,G62))</x:f>
        <x:v>147</x:v>
      </x:c>
      <x:c r="I62" s="82" t="n">
        <x:f>SUM(J62:O62)</x:f>
        <x:v>350</x:v>
      </x:c>
      <x:c r="J62" s="82" t="n">
        <x:v>55</x:v>
      </x:c>
      <x:c r="K62" s="82" t="n">
        <x:v>70</x:v>
      </x:c>
      <x:c r="L62" s="82" t="n">
        <x:v>45</x:v>
      </x:c>
      <x:c r="M62" s="82" t="n">
        <x:v>70</x:v>
      </x:c>
      <x:c r="N62" s="82" t="n">
        <x:v>50</x:v>
      </x:c>
      <x:c r="O62" s="82" t="n">
        <x:v>60</x:v>
      </x:c>
      <x:c r="P62" s="82" t="str">
        <x:v>Sim</x:v>
      </x:c>
      <x:c r="Q62" s="82" t="str">
        <x:v>Não</x:v>
      </x:c>
      <x:c r="R62" s="82" t="str">
        <x:v>Rankeado</x:v>
      </x:c>
      <x:c r="S62" s="82" t="str">
        <x:v>https://poke.idleworld.online/pokepedia/pokemon/growlithe</x:v>
      </x:c>
      <x:c r="T62" s="143" t="n">
        <x:f>MAX(K62,M62)*Metodologia!$B$16</x:f>
        <x:v>91</x:v>
      </x:c>
      <x:c r="U62" s="143" t="n">
        <x:f>MIN(K62,M62)*Metodologia!$B$16</x:f>
        <x:v>91</x:v>
      </x:c>
      <x:c r="V62" s="144" t="n">
        <x:f>SQRT(J62*AVERAGE(L62,N62)*Metodologia!$B$16)</x:f>
        <x:v>58.27735409230587</x:v>
      </x:c>
    </x:row>
    <x:row r="63" ht="22" customHeight="1">
      <x:c r="A63" s="82" t="n">
        <x:v>59</x:v>
      </x:c>
      <x:c r="B63" s="82" t="str">
        <x:v>Arcanine</x:v>
      </x:c>
      <x:c r="C63" s="82" t="str">
        <x:v>Fogo</x:v>
      </x:c>
      <x:c r="D63" s="82" t="str">
        <x:v>Volcanic</x:v>
      </x:c>
      <x:c r="E63" s="82" t="n">
        <x:v>1</x:v>
      </x:c>
      <x:c r="F63" s="82" t="str">
        <x:f>IF(G63&gt;=80,"S+",IF(G63&gt;=72,"S",IF(G63&gt;=65,"A",IF(G63&gt;=58,"B",IF(G63&gt;=50,"C",IF(G63&gt;=42,"D","E"))))))</x:f>
        <x:v>A</x:v>
      </x:c>
      <x:c r="G63" s="142" t="n">
        <x:f>ROUND(100*(Metodologia!$B$17*(T63/Metodologia!$B$22)+Metodologia!$B$18*(U63/Metodologia!$B$23)+Metodologia!$B$19*(V63/Metodologia!$B$24)+Metodologia!$B$20*(O63/Metodologia!$B$25)+Metodologia!$B$21*(I63/Metodologia!$B$26)),2)</x:f>
        <x:v>71.72</x:v>
      </x:c>
      <x:c r="H63" s="82" t="n">
        <x:f>IF(R63&lt;&gt;"Rankeado","",COUNTIFS($R$5:$R$255,"Rankeado",$G$5:$G$255,"&gt;"&amp;G63)+COUNTIFS($R$5:R63,"Rankeado",$G$5:G63,G63))</x:f>
        <x:v>12</x:v>
      </x:c>
      <x:c r="I63" s="82" t="n">
        <x:f>SUM(J63:O63)</x:f>
        <x:v>555</x:v>
      </x:c>
      <x:c r="J63" s="82" t="n">
        <x:v>90</x:v>
      </x:c>
      <x:c r="K63" s="82" t="n">
        <x:v>110</x:v>
      </x:c>
      <x:c r="L63" s="82" t="n">
        <x:v>80</x:v>
      </x:c>
      <x:c r="M63" s="82" t="n">
        <x:v>100</x:v>
      </x:c>
      <x:c r="N63" s="82" t="n">
        <x:v>80</x:v>
      </x:c>
      <x:c r="O63" s="82" t="n">
        <x:v>95</x:v>
      </x:c>
      <x:c r="P63" s="82" t="str">
        <x:v>Sim</x:v>
      </x:c>
      <x:c r="Q63" s="82" t="str">
        <x:v>Não</x:v>
      </x:c>
      <x:c r="R63" s="82" t="str">
        <x:v>Rankeado</x:v>
      </x:c>
      <x:c r="S63" s="82" t="str">
        <x:v>https://poke.idleworld.online/pokepedia/pokemon/arcanine</x:v>
      </x:c>
      <x:c r="T63" s="143" t="n">
        <x:f>MAX(K63,M63)*Metodologia!$B$16</x:f>
        <x:v>143</x:v>
      </x:c>
      <x:c r="U63" s="143" t="n">
        <x:f>MIN(K63,M63)*Metodologia!$B$16</x:f>
        <x:v>130</x:v>
      </x:c>
      <x:c r="V63" s="144" t="n">
        <x:f>SQRT(J63*AVERAGE(L63,N63)*Metodologia!$B$16)</x:f>
        <x:v>96.74709297958259</x:v>
      </x:c>
    </x:row>
    <x:row r="64" ht="22" customHeight="1">
      <x:c r="A64" s="82" t="n">
        <x:v>60</x:v>
      </x:c>
      <x:c r="B64" s="82" t="str">
        <x:v>Poliwag</x:v>
      </x:c>
      <x:c r="C64" s="82" t="str">
        <x:v>Água</x:v>
      </x:c>
      <x:c r="D64" s="82" t="str">
        <x:v>Seavell</x:v>
      </x:c>
      <x:c r="E64" s="82" t="n">
        <x:v>1</x:v>
      </x:c>
      <x:c r="F64" s="82" t="str">
        <x:f>IF(G64&gt;=80,"S+",IF(G64&gt;=72,"S",IF(G64&gt;=65,"A",IF(G64&gt;=58,"B",IF(G64&gt;=50,"C",IF(G64&gt;=42,"D","E"))))))</x:f>
        <x:v>E</x:v>
      </x:c>
      <x:c r="G64" s="142" t="n">
        <x:f>ROUND(100*(Metodologia!$B$17*(T64/Metodologia!$B$22)+Metodologia!$B$18*(U64/Metodologia!$B$23)+Metodologia!$B$19*(V64/Metodologia!$B$24)+Metodologia!$B$20*(O64/Metodologia!$B$25)+Metodologia!$B$21*(I64/Metodologia!$B$26)),2)</x:f>
        <x:v>35.74</x:v>
      </x:c>
      <x:c r="H64" s="82" t="n">
        <x:f>IF(R64&lt;&gt;"Rankeado","",COUNTIFS($R$5:$R$255,"Rankeado",$G$5:$G$255,"&gt;"&amp;G64)+COUNTIFS($R$5:R64,"Rankeado",$G$5:G64,G64))</x:f>
        <x:v>201</x:v>
      </x:c>
      <x:c r="I64" s="82" t="n">
        <x:f>SUM(J64:O64)</x:f>
        <x:v>300</x:v>
      </x:c>
      <x:c r="J64" s="82" t="n">
        <x:v>40</x:v>
      </x:c>
      <x:c r="K64" s="82" t="n">
        <x:v>50</x:v>
      </x:c>
      <x:c r="L64" s="82" t="n">
        <x:v>40</x:v>
      </x:c>
      <x:c r="M64" s="82" t="n">
        <x:v>40</x:v>
      </x:c>
      <x:c r="N64" s="82" t="n">
        <x:v>40</x:v>
      </x:c>
      <x:c r="O64" s="82" t="n">
        <x:v>90</x:v>
      </x:c>
      <x:c r="P64" s="82" t="str">
        <x:v>Sim</x:v>
      </x:c>
      <x:c r="Q64" s="82" t="str">
        <x:v>Não</x:v>
      </x:c>
      <x:c r="R64" s="82" t="str">
        <x:v>Rankeado</x:v>
      </x:c>
      <x:c r="S64" s="82" t="str">
        <x:v>https://poke.idleworld.online/pokepedia/pokemon/poliwag</x:v>
      </x:c>
      <x:c r="T64" s="143" t="n">
        <x:f>MAX(K64,M64)*Metodologia!$B$16</x:f>
        <x:v>65</x:v>
      </x:c>
      <x:c r="U64" s="143" t="n">
        <x:f>MIN(K64,M64)*Metodologia!$B$16</x:f>
        <x:v>52</x:v>
      </x:c>
      <x:c r="V64" s="144" t="n">
        <x:f>SQRT(J64*AVERAGE(L64,N64)*Metodologia!$B$16)</x:f>
        <x:v>45.60701700396552</x:v>
      </x:c>
    </x:row>
    <x:row r="65" ht="22" customHeight="1">
      <x:c r="A65" s="82" t="n">
        <x:v>61</x:v>
      </x:c>
      <x:c r="B65" s="82" t="str">
        <x:v>Poliwhirl</x:v>
      </x:c>
      <x:c r="C65" s="82" t="str">
        <x:v>Água</x:v>
      </x:c>
      <x:c r="D65" s="82" t="str">
        <x:v>Seavell</x:v>
      </x:c>
      <x:c r="E65" s="82" t="n">
        <x:v>1</x:v>
      </x:c>
      <x:c r="F65" s="82" t="str">
        <x:f>IF(G65&gt;=80,"S+",IF(G65&gt;=72,"S",IF(G65&gt;=65,"A",IF(G65&gt;=58,"B",IF(G65&gt;=50,"C",IF(G65&gt;=42,"D","E"))))))</x:f>
        <x:v>D</x:v>
      </x:c>
      <x:c r="G65" s="142" t="n">
        <x:f>ROUND(100*(Metodologia!$B$17*(T65/Metodologia!$B$22)+Metodologia!$B$18*(U65/Metodologia!$B$23)+Metodologia!$B$19*(V65/Metodologia!$B$24)+Metodologia!$B$20*(O65/Metodologia!$B$25)+Metodologia!$B$21*(I65/Metodologia!$B$26)),2)</x:f>
        <x:v>45.45</x:v>
      </x:c>
      <x:c r="H65" s="82" t="n">
        <x:f>IF(R65&lt;&gt;"Rankeado","",COUNTIFS($R$5:$R$255,"Rankeado",$G$5:$G$255,"&gt;"&amp;G65)+COUNTIFS($R$5:R65,"Rankeado",$G$5:G65,G65))</x:f>
        <x:v>153</x:v>
      </x:c>
      <x:c r="I65" s="82" t="n">
        <x:f>SUM(J65:O65)</x:f>
        <x:v>385</x:v>
      </x:c>
      <x:c r="J65" s="82" t="n">
        <x:v>65</x:v>
      </x:c>
      <x:c r="K65" s="82" t="n">
        <x:v>65</x:v>
      </x:c>
      <x:c r="L65" s="82" t="n">
        <x:v>65</x:v>
      </x:c>
      <x:c r="M65" s="82" t="n">
        <x:v>50</x:v>
      </x:c>
      <x:c r="N65" s="82" t="n">
        <x:v>50</x:v>
      </x:c>
      <x:c r="O65" s="82" t="n">
        <x:v>90</x:v>
      </x:c>
      <x:c r="P65" s="82" t="str">
        <x:v>Sim</x:v>
      </x:c>
      <x:c r="Q65" s="82" t="str">
        <x:v>Não</x:v>
      </x:c>
      <x:c r="R65" s="82" t="str">
        <x:v>Rankeado</x:v>
      </x:c>
      <x:c r="S65" s="82" t="str">
        <x:v>https://poke.idleworld.online/pokepedia/pokemon/poliwhirl</x:v>
      </x:c>
      <x:c r="T65" s="143" t="n">
        <x:f>MAX(K65,M65)*Metodologia!$B$16</x:f>
        <x:v>84.5</x:v>
      </x:c>
      <x:c r="U65" s="143" t="n">
        <x:f>MIN(K65,M65)*Metodologia!$B$16</x:f>
        <x:v>65</x:v>
      </x:c>
      <x:c r="V65" s="144" t="n">
        <x:f>SQRT(J65*AVERAGE(L65,N65)*Metodologia!$B$16)</x:f>
        <x:v>69.70473441596346</x:v>
      </x:c>
    </x:row>
    <x:row r="66" ht="22" customHeight="1">
      <x:c r="A66" s="82" t="n">
        <x:v>62</x:v>
      </x:c>
      <x:c r="B66" s="82" t="str">
        <x:v>Poliwrath</x:v>
      </x:c>
      <x:c r="C66" s="82" t="str">
        <x:v>Água / Lutador</x:v>
      </x:c>
      <x:c r="D66" s="82" t="str">
        <x:v>Gardestrike / Seavell</x:v>
      </x:c>
      <x:c r="E66" s="82" t="n">
        <x:v>2</x:v>
      </x:c>
      <x:c r="F66" s="82" t="str">
        <x:f>IF(G66&gt;=80,"S+",IF(G66&gt;=72,"S",IF(G66&gt;=65,"A",IF(G66&gt;=58,"B",IF(G66&gt;=50,"C",IF(G66&gt;=42,"D","E"))))))</x:f>
        <x:v>B</x:v>
      </x:c>
      <x:c r="G66" s="142" t="n">
        <x:f>ROUND(100*(Metodologia!$B$17*(T66/Metodologia!$B$22)+Metodologia!$B$18*(U66/Metodologia!$B$23)+Metodologia!$B$19*(V66/Metodologia!$B$24)+Metodologia!$B$20*(O66/Metodologia!$B$25)+Metodologia!$B$21*(I66/Metodologia!$B$26)),2)</x:f>
        <x:v>61.86</x:v>
      </x:c>
      <x:c r="H66" s="82" t="n">
        <x:f>IF(R66&lt;&gt;"Rankeado","",COUNTIFS($R$5:$R$255,"Rankeado",$G$5:$G$255,"&gt;"&amp;G66)+COUNTIFS($R$5:R66,"Rankeado",$G$5:G66,G66))</x:f>
        <x:v>54</x:v>
      </x:c>
      <x:c r="I66" s="82" t="n">
        <x:f>SUM(J66:O66)</x:f>
        <x:v>510</x:v>
      </x:c>
      <x:c r="J66" s="82" t="n">
        <x:v>90</x:v>
      </x:c>
      <x:c r="K66" s="82" t="n">
        <x:v>95</x:v>
      </x:c>
      <x:c r="L66" s="82" t="n">
        <x:v>95</x:v>
      </x:c>
      <x:c r="M66" s="82" t="n">
        <x:v>70</x:v>
      </x:c>
      <x:c r="N66" s="82" t="n">
        <x:v>90</x:v>
      </x:c>
      <x:c r="O66" s="82" t="n">
        <x:v>70</x:v>
      </x:c>
      <x:c r="P66" s="82" t="str">
        <x:v>Sim</x:v>
      </x:c>
      <x:c r="Q66" s="82" t="str">
        <x:v>Não</x:v>
      </x:c>
      <x:c r="R66" s="82" t="str">
        <x:v>Rankeado</x:v>
      </x:c>
      <x:c r="S66" s="82" t="str">
        <x:v>https://poke.idleworld.online/pokepedia/pokemon/poliwrath</x:v>
      </x:c>
      <x:c r="T66" s="143" t="n">
        <x:f>MAX(K66,M66)*Metodologia!$B$16</x:f>
        <x:v>123.5</x:v>
      </x:c>
      <x:c r="U66" s="143" t="n">
        <x:f>MIN(K66,M66)*Metodologia!$B$16</x:f>
        <x:v>91</x:v>
      </x:c>
      <x:c r="V66" s="144" t="n">
        <x:f>SQRT(J66*AVERAGE(L66,N66)*Metodologia!$B$16)</x:f>
        <x:v>104.03124530639822</x:v>
      </x:c>
    </x:row>
    <x:row r="67" ht="22" customHeight="1">
      <x:c r="A67" s="82" t="n">
        <x:v>63</x:v>
      </x:c>
      <x:c r="B67" s="82" t="str">
        <x:v>Abra</x:v>
      </x:c>
      <x:c r="C67" s="82" t="str">
        <x:v>Psíquico</x:v>
      </x:c>
      <x:c r="D67" s="82" t="str">
        <x:v>Psycraft</x:v>
      </x:c>
      <x:c r="E67" s="82" t="n">
        <x:v>1</x:v>
      </x:c>
      <x:c r="F67" s="82" t="str">
        <x:f>IF(G67&gt;=80,"S+",IF(G67&gt;=72,"S",IF(G67&gt;=65,"A",IF(G67&gt;=58,"B",IF(G67&gt;=50,"C",IF(G67&gt;=42,"D","E"))))))</x:f>
        <x:v>C</x:v>
      </x:c>
      <x:c r="G67" s="142" t="n">
        <x:f>ROUND(100*(Metodologia!$B$17*(T67/Metodologia!$B$22)+Metodologia!$B$18*(U67/Metodologia!$B$23)+Metodologia!$B$19*(V67/Metodologia!$B$24)+Metodologia!$B$20*(O67/Metodologia!$B$25)+Metodologia!$B$21*(I67/Metodologia!$B$26)),2)</x:f>
        <x:v>54.27</x:v>
      </x:c>
      <x:c r="H67" s="82" t="n">
        <x:f>IF(R67&lt;&gt;"Rankeado","",COUNTIFS($R$5:$R$255,"Rankeado",$G$5:$G$255,"&gt;"&amp;G67)+COUNTIFS($R$5:R67,"Rankeado",$G$5:G67,G67))</x:f>
        <x:v>102</x:v>
      </x:c>
      <x:c r="I67" s="82" t="n">
        <x:f>SUM(J67:O67)</x:f>
        <x:v>310</x:v>
      </x:c>
      <x:c r="J67" s="82" t="n">
        <x:v>25</x:v>
      </x:c>
      <x:c r="K67" s="82" t="n">
        <x:v>20</x:v>
      </x:c>
      <x:c r="L67" s="82" t="n">
        <x:v>15</x:v>
      </x:c>
      <x:c r="M67" s="82" t="n">
        <x:v>105</x:v>
      </x:c>
      <x:c r="N67" s="82" t="n">
        <x:v>55</x:v>
      </x:c>
      <x:c r="O67" s="82" t="n">
        <x:v>90</x:v>
      </x:c>
      <x:c r="P67" s="82" t="str">
        <x:v>Sim</x:v>
      </x:c>
      <x:c r="Q67" s="82" t="str">
        <x:v>Não</x:v>
      </x:c>
      <x:c r="R67" s="82" t="str">
        <x:v>Rankeado</x:v>
      </x:c>
      <x:c r="S67" s="82" t="str">
        <x:v>https://poke.idleworld.online/pokepedia/pokemon/abra</x:v>
      </x:c>
      <x:c r="T67" s="143" t="n">
        <x:f>MAX(K67,M67)*Metodologia!$B$16</x:f>
        <x:v>136.5</x:v>
      </x:c>
      <x:c r="U67" s="143" t="n">
        <x:f>MIN(K67,M67)*Metodologia!$B$16</x:f>
        <x:v>26</x:v>
      </x:c>
      <x:c r="V67" s="144" t="n">
        <x:f>SQRT(J67*AVERAGE(L67,N67)*Metodologia!$B$16)</x:f>
        <x:v>33.726843908080106</x:v>
      </x:c>
    </x:row>
    <x:row r="68" ht="22" customHeight="1">
      <x:c r="A68" s="82" t="n">
        <x:v>64</x:v>
      </x:c>
      <x:c r="B68" s="82" t="str">
        <x:v>Kadabra</x:v>
      </x:c>
      <x:c r="C68" s="82" t="str">
        <x:v>Psíquico</x:v>
      </x:c>
      <x:c r="D68" s="82" t="str">
        <x:v>Psycraft</x:v>
      </x:c>
      <x:c r="E68" s="82" t="n">
        <x:v>1</x:v>
      </x:c>
      <x:c r="F68" s="82" t="str">
        <x:f>IF(G68&gt;=80,"S+",IF(G68&gt;=72,"S",IF(G68&gt;=65,"A",IF(G68&gt;=58,"B",IF(G68&gt;=50,"C",IF(G68&gt;=42,"D","E"))))))</x:f>
        <x:v>B</x:v>
      </x:c>
      <x:c r="G68" s="142" t="n">
        <x:f>ROUND(100*(Metodologia!$B$17*(T68/Metodologia!$B$22)+Metodologia!$B$18*(U68/Metodologia!$B$23)+Metodologia!$B$19*(V68/Metodologia!$B$24)+Metodologia!$B$20*(O68/Metodologia!$B$25)+Metodologia!$B$21*(I68/Metodologia!$B$26)),2)</x:f>
        <x:v>64.81</x:v>
      </x:c>
      <x:c r="H68" s="82" t="n">
        <x:f>IF(R68&lt;&gt;"Rankeado","",COUNTIFS($R$5:$R$255,"Rankeado",$G$5:$G$255,"&gt;"&amp;G68)+COUNTIFS($R$5:R68,"Rankeado",$G$5:G68,G68))</x:f>
        <x:v>44</x:v>
      </x:c>
      <x:c r="I68" s="82" t="n">
        <x:f>SUM(J68:O68)</x:f>
        <x:v>400</x:v>
      </x:c>
      <x:c r="J68" s="82" t="n">
        <x:v>40</x:v>
      </x:c>
      <x:c r="K68" s="82" t="n">
        <x:v>35</x:v>
      </x:c>
      <x:c r="L68" s="82" t="n">
        <x:v>30</x:v>
      </x:c>
      <x:c r="M68" s="82" t="n">
        <x:v>120</x:v>
      </x:c>
      <x:c r="N68" s="82" t="n">
        <x:v>70</x:v>
      </x:c>
      <x:c r="O68" s="82" t="n">
        <x:v>105</x:v>
      </x:c>
      <x:c r="P68" s="82" t="str">
        <x:v>Sim</x:v>
      </x:c>
      <x:c r="Q68" s="82" t="str">
        <x:v>Não</x:v>
      </x:c>
      <x:c r="R68" s="82" t="str">
        <x:v>Rankeado</x:v>
      </x:c>
      <x:c r="S68" s="82" t="str">
        <x:v>https://poke.idleworld.online/pokepedia/pokemon/kadabra</x:v>
      </x:c>
      <x:c r="T68" s="143" t="n">
        <x:f>MAX(K68,M68)*Metodologia!$B$16</x:f>
        <x:v>156</x:v>
      </x:c>
      <x:c r="U68" s="143" t="n">
        <x:f>MIN(K68,M68)*Metodologia!$B$16</x:f>
        <x:v>45.5</x:v>
      </x:c>
      <x:c r="V68" s="144" t="n">
        <x:f>SQRT(J68*AVERAGE(L68,N68)*Metodologia!$B$16)</x:f>
        <x:v>50.99019513592785</x:v>
      </x:c>
    </x:row>
    <x:row r="69" ht="22" customHeight="1">
      <x:c r="A69" s="82" t="n">
        <x:v>65</x:v>
      </x:c>
      <x:c r="B69" s="82" t="str">
        <x:v>Alakazam</x:v>
      </x:c>
      <x:c r="C69" s="82" t="str">
        <x:v>Psíquico</x:v>
      </x:c>
      <x:c r="D69" s="82" t="str">
        <x:v>Psycraft</x:v>
      </x:c>
      <x:c r="E69" s="82" t="n">
        <x:v>1</x:v>
      </x:c>
      <x:c r="F69" s="82" t="str">
        <x:f>IF(G69&gt;=80,"S+",IF(G69&gt;=72,"S",IF(G69&gt;=65,"A",IF(G69&gt;=58,"B",IF(G69&gt;=50,"C",IF(G69&gt;=42,"D","E"))))))</x:f>
        <x:v>S</x:v>
      </x:c>
      <x:c r="G69" s="142" t="n">
        <x:f>ROUND(100*(Metodologia!$B$17*(T69/Metodologia!$B$22)+Metodologia!$B$18*(U69/Metodologia!$B$23)+Metodologia!$B$19*(V69/Metodologia!$B$24)+Metodologia!$B$20*(O69/Metodologia!$B$25)+Metodologia!$B$21*(I69/Metodologia!$B$26)),2)</x:f>
        <x:v>75.66</x:v>
      </x:c>
      <x:c r="H69" s="82" t="n">
        <x:f>IF(R69&lt;&gt;"Rankeado","",COUNTIFS($R$5:$R$255,"Rankeado",$G$5:$G$255,"&gt;"&amp;G69)+COUNTIFS($R$5:R69,"Rankeado",$G$5:G69,G69))</x:f>
        <x:v>4</x:v>
      </x:c>
      <x:c r="I69" s="82" t="n">
        <x:f>SUM(J69:O69)</x:f>
        <x:v>500</x:v>
      </x:c>
      <x:c r="J69" s="82" t="n">
        <x:v>55</x:v>
      </x:c>
      <x:c r="K69" s="82" t="n">
        <x:v>50</x:v>
      </x:c>
      <x:c r="L69" s="82" t="n">
        <x:v>45</x:v>
      </x:c>
      <x:c r="M69" s="82" t="n">
        <x:v>135</x:v>
      </x:c>
      <x:c r="N69" s="82" t="n">
        <x:v>95</x:v>
      </x:c>
      <x:c r="O69" s="82" t="n">
        <x:v>120</x:v>
      </x:c>
      <x:c r="P69" s="82" t="str">
        <x:v>Sim</x:v>
      </x:c>
      <x:c r="Q69" s="82" t="str">
        <x:v>Não</x:v>
      </x:c>
      <x:c r="R69" s="82" t="str">
        <x:v>Rankeado</x:v>
      </x:c>
      <x:c r="S69" s="82" t="str">
        <x:v>https://poke.idleworld.online/pokepedia/pokemon/alakazam</x:v>
      </x:c>
      <x:c r="T69" s="143" t="n">
        <x:f>MAX(K69,M69)*Metodologia!$B$16</x:f>
        <x:v>175.5</x:v>
      </x:c>
      <x:c r="U69" s="143" t="n">
        <x:f>MIN(K69,M69)*Metodologia!$B$16</x:f>
        <x:v>65</x:v>
      </x:c>
      <x:c r="V69" s="144" t="n">
        <x:f>SQRT(J69*AVERAGE(L69,N69)*Metodologia!$B$16)</x:f>
        <x:v>70.74602462329597</x:v>
      </x:c>
    </x:row>
    <x:row r="70" ht="22" customHeight="1">
      <x:c r="A70" s="82" t="n">
        <x:v>66</x:v>
      </x:c>
      <x:c r="B70" s="82" t="str">
        <x:v>Machop</x:v>
      </x:c>
      <x:c r="C70" s="82" t="str">
        <x:v>Lutador</x:v>
      </x:c>
      <x:c r="D70" s="82" t="str">
        <x:v>Gardestrike</x:v>
      </x:c>
      <x:c r="E70" s="82" t="n">
        <x:v>1</x:v>
      </x:c>
      <x:c r="F70" s="82" t="str">
        <x:f>IF(G70&gt;=80,"S+",IF(G70&gt;=72,"S",IF(G70&gt;=65,"A",IF(G70&gt;=58,"B",IF(G70&gt;=50,"C",IF(G70&gt;=42,"D","E"))))))</x:f>
        <x:v>D</x:v>
      </x:c>
      <x:c r="G70" s="142" t="n">
        <x:f>ROUND(100*(Metodologia!$B$17*(T70/Metodologia!$B$22)+Metodologia!$B$18*(U70/Metodologia!$B$23)+Metodologia!$B$19*(V70/Metodologia!$B$24)+Metodologia!$B$20*(O70/Metodologia!$B$25)+Metodologia!$B$21*(I70/Metodologia!$B$26)),2)</x:f>
        <x:v>44.94</x:v>
      </x:c>
      <x:c r="H70" s="82" t="n">
        <x:f>IF(R70&lt;&gt;"Rankeado","",COUNTIFS($R$5:$R$255,"Rankeado",$G$5:$G$255,"&gt;"&amp;G70)+COUNTIFS($R$5:R70,"Rankeado",$G$5:G70,G70))</x:f>
        <x:v>156</x:v>
      </x:c>
      <x:c r="I70" s="82" t="n">
        <x:f>SUM(J70:O70)</x:f>
        <x:v>305</x:v>
      </x:c>
      <x:c r="J70" s="82" t="n">
        <x:v>70</x:v>
      </x:c>
      <x:c r="K70" s="82" t="n">
        <x:v>80</x:v>
      </x:c>
      <x:c r="L70" s="82" t="n">
        <x:v>50</x:v>
      </x:c>
      <x:c r="M70" s="82" t="n">
        <x:v>35</x:v>
      </x:c>
      <x:c r="N70" s="82" t="n">
        <x:v>35</x:v>
      </x:c>
      <x:c r="O70" s="82" t="n">
        <x:v>35</x:v>
      </x:c>
      <x:c r="P70" s="82" t="str">
        <x:v>Sim</x:v>
      </x:c>
      <x:c r="Q70" s="82" t="str">
        <x:v>Não</x:v>
      </x:c>
      <x:c r="R70" s="82" t="str">
        <x:v>Rankeado</x:v>
      </x:c>
      <x:c r="S70" s="82" t="str">
        <x:v>https://poke.idleworld.online/pokepedia/pokemon/machop</x:v>
      </x:c>
      <x:c r="T70" s="143" t="n">
        <x:f>MAX(K70,M70)*Metodologia!$B$16</x:f>
        <x:v>104</x:v>
      </x:c>
      <x:c r="U70" s="143" t="n">
        <x:f>MIN(K70,M70)*Metodologia!$B$16</x:f>
        <x:v>45.5</x:v>
      </x:c>
      <x:c r="V70" s="144" t="n">
        <x:f>SQRT(J70*AVERAGE(L70,N70)*Metodologia!$B$16)</x:f>
        <x:v>62.18922736294446</x:v>
      </x:c>
    </x:row>
    <x:row r="71" ht="22" customHeight="1">
      <x:c r="A71" s="82" t="n">
        <x:v>67</x:v>
      </x:c>
      <x:c r="B71" s="82" t="str">
        <x:v>Machoke</x:v>
      </x:c>
      <x:c r="C71" s="82" t="str">
        <x:v>Lutador</x:v>
      </x:c>
      <x:c r="D71" s="82" t="str">
        <x:v>Gardestrike</x:v>
      </x:c>
      <x:c r="E71" s="82" t="n">
        <x:v>1</x:v>
      </x:c>
      <x:c r="F71" s="82" t="str">
        <x:f>IF(G71&gt;=80,"S+",IF(G71&gt;=72,"S",IF(G71&gt;=65,"A",IF(G71&gt;=58,"B",IF(G71&gt;=50,"C",IF(G71&gt;=42,"D","E"))))))</x:f>
        <x:v>C</x:v>
      </x:c>
      <x:c r="G71" s="142" t="n">
        <x:f>ROUND(100*(Metodologia!$B$17*(T71/Metodologia!$B$22)+Metodologia!$B$18*(U71/Metodologia!$B$23)+Metodologia!$B$19*(V71/Metodologia!$B$24)+Metodologia!$B$20*(O71/Metodologia!$B$25)+Metodologia!$B$21*(I71/Metodologia!$B$26)),2)</x:f>
        <x:v>57.44</x:v>
      </x:c>
      <x:c r="H71" s="82" t="n">
        <x:f>IF(R71&lt;&gt;"Rankeado","",COUNTIFS($R$5:$R$255,"Rankeado",$G$5:$G$255,"&gt;"&amp;G71)+COUNTIFS($R$5:R71,"Rankeado",$G$5:G71,G71))</x:f>
        <x:v>87</x:v>
      </x:c>
      <x:c r="I71" s="82" t="n">
        <x:f>SUM(J71:O71)</x:f>
        <x:v>405</x:v>
      </x:c>
      <x:c r="J71" s="82" t="n">
        <x:v>80</x:v>
      </x:c>
      <x:c r="K71" s="82" t="n">
        <x:v>100</x:v>
      </x:c>
      <x:c r="L71" s="82" t="n">
        <x:v>70</x:v>
      </x:c>
      <x:c r="M71" s="82" t="n">
        <x:v>50</x:v>
      </x:c>
      <x:c r="N71" s="82" t="n">
        <x:v>60</x:v>
      </x:c>
      <x:c r="O71" s="82" t="n">
        <x:v>45</x:v>
      </x:c>
      <x:c r="P71" s="82" t="str">
        <x:v>Sim</x:v>
      </x:c>
      <x:c r="Q71" s="82" t="str">
        <x:v>Não</x:v>
      </x:c>
      <x:c r="R71" s="82" t="str">
        <x:v>Rankeado</x:v>
      </x:c>
      <x:c r="S71" s="82" t="str">
        <x:v>https://poke.idleworld.online/pokepedia/pokemon/machoke</x:v>
      </x:c>
      <x:c r="T71" s="143" t="n">
        <x:f>MAX(K71,M71)*Metodologia!$B$16</x:f>
        <x:v>130</x:v>
      </x:c>
      <x:c r="U71" s="143" t="n">
        <x:f>MIN(K71,M71)*Metodologia!$B$16</x:f>
        <x:v>65</x:v>
      </x:c>
      <x:c r="V71" s="144" t="n">
        <x:f>SQRT(J71*AVERAGE(L71,N71)*Metodologia!$B$16)</x:f>
        <x:v>82.21921916437786</x:v>
      </x:c>
    </x:row>
    <x:row r="72" ht="22" customHeight="1">
      <x:c r="A72" s="82" t="n">
        <x:v>68</x:v>
      </x:c>
      <x:c r="B72" s="82" t="str">
        <x:v>Machamp</x:v>
      </x:c>
      <x:c r="C72" s="82" t="str">
        <x:v>Lutador</x:v>
      </x:c>
      <x:c r="D72" s="82" t="str">
        <x:v>Gardestrike</x:v>
      </x:c>
      <x:c r="E72" s="82" t="n">
        <x:v>1</x:v>
      </x:c>
      <x:c r="F72" s="82" t="str">
        <x:f>IF(G72&gt;=80,"S+",IF(G72&gt;=72,"S",IF(G72&gt;=65,"A",IF(G72&gt;=58,"B",IF(G72&gt;=50,"C",IF(G72&gt;=42,"D","E"))))))</x:f>
        <x:v>S</x:v>
      </x:c>
      <x:c r="G72" s="142" t="n">
        <x:f>ROUND(100*(Metodologia!$B$17*(T72/Metodologia!$B$22)+Metodologia!$B$18*(U72/Metodologia!$B$23)+Metodologia!$B$19*(V72/Metodologia!$B$24)+Metodologia!$B$20*(O72/Metodologia!$B$25)+Metodologia!$B$21*(I72/Metodologia!$B$26)),2)</x:f>
        <x:v>73.44</x:v>
      </x:c>
      <x:c r="H72" s="82" t="n">
        <x:f>IF(R72&lt;&gt;"Rankeado","",COUNTIFS($R$5:$R$255,"Rankeado",$G$5:$G$255,"&gt;"&amp;G72)+COUNTIFS($R$5:R72,"Rankeado",$G$5:G72,G72))</x:f>
        <x:v>10</x:v>
      </x:c>
      <x:c r="I72" s="82" t="n">
        <x:f>SUM(J72:O72)</x:f>
        <x:v>505</x:v>
      </x:c>
      <x:c r="J72" s="82" t="n">
        <x:v>90</x:v>
      </x:c>
      <x:c r="K72" s="82" t="n">
        <x:v>130</x:v>
      </x:c>
      <x:c r="L72" s="82" t="n">
        <x:v>80</x:v>
      </x:c>
      <x:c r="M72" s="82" t="n">
        <x:v>65</x:v>
      </x:c>
      <x:c r="N72" s="82" t="n">
        <x:v>85</x:v>
      </x:c>
      <x:c r="O72" s="82" t="n">
        <x:v>55</x:v>
      </x:c>
      <x:c r="P72" s="82" t="str">
        <x:v>Sim</x:v>
      </x:c>
      <x:c r="Q72" s="82" t="str">
        <x:v>Não</x:v>
      </x:c>
      <x:c r="R72" s="82" t="str">
        <x:v>Rankeado</x:v>
      </x:c>
      <x:c r="S72" s="82" t="str">
        <x:v>https://poke.idleworld.online/pokepedia/pokemon/machamp</x:v>
      </x:c>
      <x:c r="T72" s="143" t="n">
        <x:f>MAX(K72,M72)*Metodologia!$B$16</x:f>
        <x:v>169</x:v>
      </x:c>
      <x:c r="U72" s="143" t="n">
        <x:f>MIN(K72,M72)*Metodologia!$B$16</x:f>
        <x:v>84.5</x:v>
      </x:c>
      <x:c r="V72" s="144" t="n">
        <x:f>SQRT(J72*AVERAGE(L72,N72)*Metodologia!$B$16)</x:f>
        <x:v>98.24713736287688</x:v>
      </x:c>
    </x:row>
    <x:row r="73" ht="22" customHeight="1">
      <x:c r="A73" s="82" t="n">
        <x:v>69</x:v>
      </x:c>
      <x:c r="B73" s="82" t="str">
        <x:v>Bellsprout</x:v>
      </x:c>
      <x:c r="C73" s="82" t="str">
        <x:v>Planta / Veneno</x:v>
      </x:c>
      <x:c r="D73" s="82" t="str">
        <x:v>Naturia / Malefic</x:v>
      </x:c>
      <x:c r="E73" s="82" t="n">
        <x:v>2</x:v>
      </x:c>
      <x:c r="F73" s="82" t="str">
        <x:f>IF(G73&gt;=80,"S+",IF(G73&gt;=72,"S",IF(G73&gt;=65,"A",IF(G73&gt;=58,"B",IF(G73&gt;=50,"C",IF(G73&gt;=42,"D","E"))))))</x:f>
        <x:v>D</x:v>
      </x:c>
      <x:c r="G73" s="142" t="n">
        <x:f>ROUND(100*(Metodologia!$B$17*(T73/Metodologia!$B$22)+Metodologia!$B$18*(U73/Metodologia!$B$23)+Metodologia!$B$19*(V73/Metodologia!$B$24)+Metodologia!$B$20*(O73/Metodologia!$B$25)+Metodologia!$B$21*(I73/Metodologia!$B$26)),2)</x:f>
        <x:v>44.9</x:v>
      </x:c>
      <x:c r="H73" s="82" t="n">
        <x:f>IF(R73&lt;&gt;"Rankeado","",COUNTIFS($R$5:$R$255,"Rankeado",$G$5:$G$255,"&gt;"&amp;G73)+COUNTIFS($R$5:R73,"Rankeado",$G$5:G73,G73))</x:f>
        <x:v>157</x:v>
      </x:c>
      <x:c r="I73" s="82" t="n">
        <x:f>SUM(J73:O73)</x:f>
        <x:v>300</x:v>
      </x:c>
      <x:c r="J73" s="82" t="n">
        <x:v>50</x:v>
      </x:c>
      <x:c r="K73" s="82" t="n">
        <x:v>75</x:v>
      </x:c>
      <x:c r="L73" s="82" t="n">
        <x:v>35</x:v>
      </x:c>
      <x:c r="M73" s="82" t="n">
        <x:v>70</x:v>
      </x:c>
      <x:c r="N73" s="82" t="n">
        <x:v>30</x:v>
      </x:c>
      <x:c r="O73" s="82" t="n">
        <x:v>40</x:v>
      </x:c>
      <x:c r="P73" s="82" t="str">
        <x:v>Sim</x:v>
      </x:c>
      <x:c r="Q73" s="82" t="str">
        <x:v>Não</x:v>
      </x:c>
      <x:c r="R73" s="82" t="str">
        <x:v>Rankeado</x:v>
      </x:c>
      <x:c r="S73" s="82" t="str">
        <x:v>https://poke.idleworld.online/pokepedia/pokemon/bellsprout</x:v>
      </x:c>
      <x:c r="T73" s="143" t="n">
        <x:f>MAX(K73,M73)*Metodologia!$B$16</x:f>
        <x:v>97.5</x:v>
      </x:c>
      <x:c r="U73" s="143" t="n">
        <x:f>MIN(K73,M73)*Metodologia!$B$16</x:f>
        <x:v>91</x:v>
      </x:c>
      <x:c r="V73" s="144" t="n">
        <x:f>SQRT(J73*AVERAGE(L73,N73)*Metodologia!$B$16)</x:f>
        <x:v>45.96194077712559</x:v>
      </x:c>
    </x:row>
    <x:row r="74" ht="22" customHeight="1">
      <x:c r="A74" s="82" t="n">
        <x:v>70</x:v>
      </x:c>
      <x:c r="B74" s="82" t="str">
        <x:v>Weepinbell</x:v>
      </x:c>
      <x:c r="C74" s="82" t="str">
        <x:v>Planta / Veneno</x:v>
      </x:c>
      <x:c r="D74" s="82" t="str">
        <x:v>Naturia / Malefic</x:v>
      </x:c>
      <x:c r="E74" s="82" t="n">
        <x:v>2</x:v>
      </x:c>
      <x:c r="F74" s="82" t="str">
        <x:f>IF(G74&gt;=80,"S+",IF(G74&gt;=72,"S",IF(G74&gt;=65,"A",IF(G74&gt;=58,"B",IF(G74&gt;=50,"C",IF(G74&gt;=42,"D","E"))))))</x:f>
        <x:v>C</x:v>
      </x:c>
      <x:c r="G74" s="142" t="n">
        <x:f>ROUND(100*(Metodologia!$B$17*(T74/Metodologia!$B$22)+Metodologia!$B$18*(U74/Metodologia!$B$23)+Metodologia!$B$19*(V74/Metodologia!$B$24)+Metodologia!$B$20*(O74/Metodologia!$B$25)+Metodologia!$B$21*(I74/Metodologia!$B$26)),2)</x:f>
        <x:v>55.46</x:v>
      </x:c>
      <x:c r="H74" s="82" t="n">
        <x:f>IF(R74&lt;&gt;"Rankeado","",COUNTIFS($R$5:$R$255,"Rankeado",$G$5:$G$255,"&gt;"&amp;G74)+COUNTIFS($R$5:R74,"Rankeado",$G$5:G74,G74))</x:f>
        <x:v>93</x:v>
      </x:c>
      <x:c r="I74" s="82" t="n">
        <x:f>SUM(J74:O74)</x:f>
        <x:v>390</x:v>
      </x:c>
      <x:c r="J74" s="82" t="n">
        <x:v>65</x:v>
      </x:c>
      <x:c r="K74" s="82" t="n">
        <x:v>90</x:v>
      </x:c>
      <x:c r="L74" s="82" t="n">
        <x:v>50</x:v>
      </x:c>
      <x:c r="M74" s="82" t="n">
        <x:v>85</x:v>
      </x:c>
      <x:c r="N74" s="82" t="n">
        <x:v>45</x:v>
      </x:c>
      <x:c r="O74" s="82" t="n">
        <x:v>55</x:v>
      </x:c>
      <x:c r="P74" s="82" t="str">
        <x:v>Sim</x:v>
      </x:c>
      <x:c r="Q74" s="82" t="str">
        <x:v>Não</x:v>
      </x:c>
      <x:c r="R74" s="82" t="str">
        <x:v>Rankeado</x:v>
      </x:c>
      <x:c r="S74" s="82" t="str">
        <x:v>https://poke.idleworld.online/pokepedia/pokemon/weepinbell</x:v>
      </x:c>
      <x:c r="T74" s="143" t="n">
        <x:f>MAX(K74,M74)*Metodologia!$B$16</x:f>
        <x:v>117</x:v>
      </x:c>
      <x:c r="U74" s="143" t="n">
        <x:f>MIN(K74,M74)*Metodologia!$B$16</x:f>
        <x:v>110.5</x:v>
      </x:c>
      <x:c r="V74" s="144" t="n">
        <x:f>SQRT(J74*AVERAGE(L74,N74)*Metodologia!$B$16)</x:f>
        <x:v>63.35416324125826</x:v>
      </x:c>
    </x:row>
    <x:row r="75" ht="22" customHeight="1">
      <x:c r="A75" s="82" t="n">
        <x:v>71</x:v>
      </x:c>
      <x:c r="B75" s="82" t="str">
        <x:v>Victreebel</x:v>
      </x:c>
      <x:c r="C75" s="82" t="str">
        <x:v>Planta / Veneno</x:v>
      </x:c>
      <x:c r="D75" s="82" t="str">
        <x:v>Naturia / Malefic</x:v>
      </x:c>
      <x:c r="E75" s="82" t="n">
        <x:v>2</x:v>
      </x:c>
      <x:c r="F75" s="82" t="str">
        <x:f>IF(G75&gt;=80,"S+",IF(G75&gt;=72,"S",IF(G75&gt;=65,"A",IF(G75&gt;=58,"B",IF(G75&gt;=50,"C",IF(G75&gt;=42,"D","E"))))))</x:f>
        <x:v>A</x:v>
      </x:c>
      <x:c r="G75" s="142" t="n">
        <x:f>ROUND(100*(Metodologia!$B$17*(T75/Metodologia!$B$22)+Metodologia!$B$18*(U75/Metodologia!$B$23)+Metodologia!$B$19*(V75/Metodologia!$B$24)+Metodologia!$B$20*(O75/Metodologia!$B$25)+Metodologia!$B$21*(I75/Metodologia!$B$26)),2)</x:f>
        <x:v>66.38</x:v>
      </x:c>
      <x:c r="H75" s="82" t="n">
        <x:f>IF(R75&lt;&gt;"Rankeado","",COUNTIFS($R$5:$R$255,"Rankeado",$G$5:$G$255,"&gt;"&amp;G75)+COUNTIFS($R$5:R75,"Rankeado",$G$5:G75,G75))</x:f>
        <x:v>33</x:v>
      </x:c>
      <x:c r="I75" s="82" t="n">
        <x:f>SUM(J75:O75)</x:f>
        <x:v>490</x:v>
      </x:c>
      <x:c r="J75" s="82" t="n">
        <x:v>80</x:v>
      </x:c>
      <x:c r="K75" s="82" t="n">
        <x:v>105</x:v>
      </x:c>
      <x:c r="L75" s="82" t="n">
        <x:v>65</x:v>
      </x:c>
      <x:c r="M75" s="82" t="n">
        <x:v>100</x:v>
      </x:c>
      <x:c r="N75" s="82" t="n">
        <x:v>70</x:v>
      </x:c>
      <x:c r="O75" s="82" t="n">
        <x:v>70</x:v>
      </x:c>
      <x:c r="P75" s="82" t="str">
        <x:v>Sim</x:v>
      </x:c>
      <x:c r="Q75" s="82" t="str">
        <x:v>Não</x:v>
      </x:c>
      <x:c r="R75" s="82" t="str">
        <x:v>Rankeado</x:v>
      </x:c>
      <x:c r="S75" s="82" t="str">
        <x:v>https://poke.idleworld.online/pokepedia/pokemon/victreebel</x:v>
      </x:c>
      <x:c r="T75" s="143" t="n">
        <x:f>MAX(K75,M75)*Metodologia!$B$16</x:f>
        <x:v>136.5</x:v>
      </x:c>
      <x:c r="U75" s="143" t="n">
        <x:f>MIN(K75,M75)*Metodologia!$B$16</x:f>
        <x:v>130</x:v>
      </x:c>
      <x:c r="V75" s="144" t="n">
        <x:f>SQRT(J75*AVERAGE(L75,N75)*Metodologia!$B$16)</x:f>
        <x:v>83.78544026261365</x:v>
      </x:c>
    </x:row>
    <x:row r="76" ht="22" customHeight="1">
      <x:c r="A76" s="82" t="n">
        <x:v>72</x:v>
      </x:c>
      <x:c r="B76" s="82" t="str">
        <x:v>Tentacool</x:v>
      </x:c>
      <x:c r="C76" s="82" t="str">
        <x:v>Água / Veneno</x:v>
      </x:c>
      <x:c r="D76" s="82" t="str">
        <x:v>Seavell / Malefic</x:v>
      </x:c>
      <x:c r="E76" s="82" t="n">
        <x:v>2</x:v>
      </x:c>
      <x:c r="F76" s="82" t="str">
        <x:f>IF(G76&gt;=80,"S+",IF(G76&gt;=72,"S",IF(G76&gt;=65,"A",IF(G76&gt;=58,"B",IF(G76&gt;=50,"C",IF(G76&gt;=42,"D","E"))))))</x:f>
        <x:v>E</x:v>
      </x:c>
      <x:c r="G76" s="142" t="n">
        <x:f>ROUND(100*(Metodologia!$B$17*(T76/Metodologia!$B$22)+Metodologia!$B$18*(U76/Metodologia!$B$23)+Metodologia!$B$19*(V76/Metodologia!$B$24)+Metodologia!$B$20*(O76/Metodologia!$B$25)+Metodologia!$B$21*(I76/Metodologia!$B$26)),2)</x:f>
        <x:v>35.98</x:v>
      </x:c>
      <x:c r="H76" s="82" t="n">
        <x:f>IF(R76&lt;&gt;"Rankeado","",COUNTIFS($R$5:$R$255,"Rankeado",$G$5:$G$255,"&gt;"&amp;G76)+COUNTIFS($R$5:R76,"Rankeado",$G$5:G76,G76))</x:f>
        <x:v>199</x:v>
      </x:c>
      <x:c r="I76" s="82" t="n">
        <x:f>SUM(J76:O76)</x:f>
        <x:v>335</x:v>
      </x:c>
      <x:c r="J76" s="82" t="n">
        <x:v>40</x:v>
      </x:c>
      <x:c r="K76" s="82" t="n">
        <x:v>40</x:v>
      </x:c>
      <x:c r="L76" s="82" t="n">
        <x:v>35</x:v>
      </x:c>
      <x:c r="M76" s="82" t="n">
        <x:v>50</x:v>
      </x:c>
      <x:c r="N76" s="82" t="n">
        <x:v>100</x:v>
      </x:c>
      <x:c r="O76" s="82" t="n">
        <x:v>70</x:v>
      </x:c>
      <x:c r="P76" s="82" t="str">
        <x:v>Sim</x:v>
      </x:c>
      <x:c r="Q76" s="82" t="str">
        <x:v>Não</x:v>
      </x:c>
      <x:c r="R76" s="82" t="str">
        <x:v>Rankeado</x:v>
      </x:c>
      <x:c r="S76" s="82" t="str">
        <x:v>https://poke.idleworld.online/pokepedia/pokemon/tentacool</x:v>
      </x:c>
      <x:c r="T76" s="143" t="n">
        <x:f>MAX(K76,M76)*Metodologia!$B$16</x:f>
        <x:v>65</x:v>
      </x:c>
      <x:c r="U76" s="143" t="n">
        <x:f>MIN(K76,M76)*Metodologia!$B$16</x:f>
        <x:v>52</x:v>
      </x:c>
      <x:c r="V76" s="144" t="n">
        <x:f>SQRT(J76*AVERAGE(L76,N76)*Metodologia!$B$16)</x:f>
        <x:v>59.2452529743945</x:v>
      </x:c>
    </x:row>
    <x:row r="77" ht="22" customHeight="1">
      <x:c r="A77" s="82" t="n">
        <x:v>73</x:v>
      </x:c>
      <x:c r="B77" s="82" t="str">
        <x:v>Tentacruel</x:v>
      </x:c>
      <x:c r="C77" s="82" t="str">
        <x:v>Água / Veneno</x:v>
      </x:c>
      <x:c r="D77" s="82" t="str">
        <x:v>Seavell / Malefic</x:v>
      </x:c>
      <x:c r="E77" s="82" t="n">
        <x:v>2</x:v>
      </x:c>
      <x:c r="F77" s="82" t="str">
        <x:f>IF(G77&gt;=80,"S+",IF(G77&gt;=72,"S",IF(G77&gt;=65,"A",IF(G77&gt;=58,"B",IF(G77&gt;=50,"C",IF(G77&gt;=42,"D","E"))))))</x:f>
        <x:v>C</x:v>
      </x:c>
      <x:c r="G77" s="142" t="n">
        <x:f>ROUND(100*(Metodologia!$B$17*(T77/Metodologia!$B$22)+Metodologia!$B$18*(U77/Metodologia!$B$23)+Metodologia!$B$19*(V77/Metodologia!$B$24)+Metodologia!$B$20*(O77/Metodologia!$B$25)+Metodologia!$B$21*(I77/Metodologia!$B$26)),2)</x:f>
        <x:v>57.48</x:v>
      </x:c>
      <x:c r="H77" s="82" t="n">
        <x:f>IF(R77&lt;&gt;"Rankeado","",COUNTIFS($R$5:$R$255,"Rankeado",$G$5:$G$255,"&gt;"&amp;G77)+COUNTIFS($R$5:R77,"Rankeado",$G$5:G77,G77))</x:f>
        <x:v>86</x:v>
      </x:c>
      <x:c r="I77" s="82" t="n">
        <x:f>SUM(J77:O77)</x:f>
        <x:v>515</x:v>
      </x:c>
      <x:c r="J77" s="82" t="n">
        <x:v>80</x:v>
      </x:c>
      <x:c r="K77" s="82" t="n">
        <x:v>70</x:v>
      </x:c>
      <x:c r="L77" s="82" t="n">
        <x:v>65</x:v>
      </x:c>
      <x:c r="M77" s="82" t="n">
        <x:v>80</x:v>
      </x:c>
      <x:c r="N77" s="82" t="n">
        <x:v>120</x:v>
      </x:c>
      <x:c r="O77" s="82" t="n">
        <x:v>100</x:v>
      </x:c>
      <x:c r="P77" s="82" t="str">
        <x:v>Sim</x:v>
      </x:c>
      <x:c r="Q77" s="82" t="str">
        <x:v>Não</x:v>
      </x:c>
      <x:c r="R77" s="82" t="str">
        <x:v>Rankeado</x:v>
      </x:c>
      <x:c r="S77" s="82" t="str">
        <x:v>https://poke.idleworld.online/pokepedia/pokemon/tentacruel</x:v>
      </x:c>
      <x:c r="T77" s="143" t="n">
        <x:f>MAX(K77,M77)*Metodologia!$B$16</x:f>
        <x:v>104</x:v>
      </x:c>
      <x:c r="U77" s="143" t="n">
        <x:f>MIN(K77,M77)*Metodologia!$B$16</x:f>
        <x:v>91</x:v>
      </x:c>
      <x:c r="V77" s="144" t="n">
        <x:f>SQRT(J77*AVERAGE(L77,N77)*Metodologia!$B$16)</x:f>
        <x:v>98.08159868191383</x:v>
      </x:c>
    </x:row>
    <x:row r="78" ht="22" customHeight="1">
      <x:c r="A78" s="82" t="n">
        <x:v>74</x:v>
      </x:c>
      <x:c r="B78" s="82" t="str">
        <x:v>Geodude</x:v>
      </x:c>
      <x:c r="C78" s="82" t="str">
        <x:v>Pedra / Terra</x:v>
      </x:c>
      <x:c r="D78" s="82" t="str">
        <x:v>Orebound</x:v>
      </x:c>
      <x:c r="E78" s="82" t="n">
        <x:v>1</x:v>
      </x:c>
      <x:c r="F78" s="82" t="str">
        <x:f>IF(G78&gt;=80,"S+",IF(G78&gt;=72,"S",IF(G78&gt;=65,"A",IF(G78&gt;=58,"B",IF(G78&gt;=50,"C",IF(G78&gt;=42,"D","E"))))))</x:f>
        <x:v>D</x:v>
      </x:c>
      <x:c r="G78" s="142" t="n">
        <x:f>ROUND(100*(Metodologia!$B$17*(T78/Metodologia!$B$22)+Metodologia!$B$18*(U78/Metodologia!$B$23)+Metodologia!$B$19*(V78/Metodologia!$B$24)+Metodologia!$B$20*(O78/Metodologia!$B$25)+Metodologia!$B$21*(I78/Metodologia!$B$26)),2)</x:f>
        <x:v>43.06</x:v>
      </x:c>
      <x:c r="H78" s="82" t="n">
        <x:f>IF(R78&lt;&gt;"Rankeado","",COUNTIFS($R$5:$R$255,"Rankeado",$G$5:$G$255,"&gt;"&amp;G78)+COUNTIFS($R$5:R78,"Rankeado",$G$5:G78,G78))</x:f>
        <x:v>165</x:v>
      </x:c>
      <x:c r="I78" s="82" t="n">
        <x:f>SUM(J78:O78)</x:f>
        <x:v>300</x:v>
      </x:c>
      <x:c r="J78" s="82" t="n">
        <x:v>40</x:v>
      </x:c>
      <x:c r="K78" s="82" t="n">
        <x:v>80</x:v>
      </x:c>
      <x:c r="L78" s="82" t="n">
        <x:v>100</x:v>
      </x:c>
      <x:c r="M78" s="82" t="n">
        <x:v>30</x:v>
      </x:c>
      <x:c r="N78" s="82" t="n">
        <x:v>30</x:v>
      </x:c>
      <x:c r="O78" s="82" t="n">
        <x:v>20</x:v>
      </x:c>
      <x:c r="P78" s="82" t="str">
        <x:v>Sim</x:v>
      </x:c>
      <x:c r="Q78" s="82" t="str">
        <x:v>Não</x:v>
      </x:c>
      <x:c r="R78" s="82" t="str">
        <x:v>Rankeado</x:v>
      </x:c>
      <x:c r="S78" s="82" t="str">
        <x:v>https://poke.idleworld.online/pokepedia/pokemon/geodude</x:v>
      </x:c>
      <x:c r="T78" s="143" t="n">
        <x:f>MAX(K78,M78)*Metodologia!$B$16</x:f>
        <x:v>104</x:v>
      </x:c>
      <x:c r="U78" s="143" t="n">
        <x:f>MIN(K78,M78)*Metodologia!$B$16</x:f>
        <x:v>39</x:v>
      </x:c>
      <x:c r="V78" s="144" t="n">
        <x:f>SQRT(J78*AVERAGE(L78,N78)*Metodologia!$B$16)</x:f>
        <x:v>58.137767414994535</x:v>
      </x:c>
    </x:row>
    <x:row r="79" ht="22" customHeight="1">
      <x:c r="A79" s="82" t="n">
        <x:v>75</x:v>
      </x:c>
      <x:c r="B79" s="82" t="str">
        <x:v>Graveler</x:v>
      </x:c>
      <x:c r="C79" s="82" t="str">
        <x:v>Pedra / Terra</x:v>
      </x:c>
      <x:c r="D79" s="82" t="str">
        <x:v>Orebound</x:v>
      </x:c>
      <x:c r="E79" s="82" t="n">
        <x:v>1</x:v>
      </x:c>
      <x:c r="F79" s="82" t="str">
        <x:f>IF(G79&gt;=80,"S+",IF(G79&gt;=72,"S",IF(G79&gt;=65,"A",IF(G79&gt;=58,"B",IF(G79&gt;=50,"C",IF(G79&gt;=42,"D","E"))))))</x:f>
        <x:v>C</x:v>
      </x:c>
      <x:c r="G79" s="142" t="n">
        <x:f>ROUND(100*(Metodologia!$B$17*(T79/Metodologia!$B$22)+Metodologia!$B$18*(U79/Metodologia!$B$23)+Metodologia!$B$19*(V79/Metodologia!$B$24)+Metodologia!$B$20*(O79/Metodologia!$B$25)+Metodologia!$B$21*(I79/Metodologia!$B$26)),2)</x:f>
        <x:v>53.62</x:v>
      </x:c>
      <x:c r="H79" s="82" t="n">
        <x:f>IF(R79&lt;&gt;"Rankeado","",COUNTIFS($R$5:$R$255,"Rankeado",$G$5:$G$255,"&gt;"&amp;G79)+COUNTIFS($R$5:R79,"Rankeado",$G$5:G79,G79))</x:f>
        <x:v>109</x:v>
      </x:c>
      <x:c r="I79" s="82" t="n">
        <x:f>SUM(J79:O79)</x:f>
        <x:v>390</x:v>
      </x:c>
      <x:c r="J79" s="82" t="n">
        <x:v>55</x:v>
      </x:c>
      <x:c r="K79" s="82" t="n">
        <x:v>95</x:v>
      </x:c>
      <x:c r="L79" s="82" t="n">
        <x:v>115</x:v>
      </x:c>
      <x:c r="M79" s="82" t="n">
        <x:v>45</x:v>
      </x:c>
      <x:c r="N79" s="82" t="n">
        <x:v>45</x:v>
      </x:c>
      <x:c r="O79" s="82" t="n">
        <x:v>35</x:v>
      </x:c>
      <x:c r="P79" s="82" t="str">
        <x:v>Sim</x:v>
      </x:c>
      <x:c r="Q79" s="82" t="str">
        <x:v>Não</x:v>
      </x:c>
      <x:c r="R79" s="82" t="str">
        <x:v>Rankeado</x:v>
      </x:c>
      <x:c r="S79" s="82" t="str">
        <x:v>https://poke.idleworld.online/pokepedia/pokemon/graveler</x:v>
      </x:c>
      <x:c r="T79" s="143" t="n">
        <x:f>MAX(K79,M79)*Metodologia!$B$16</x:f>
        <x:v>123.5</x:v>
      </x:c>
      <x:c r="U79" s="143" t="n">
        <x:f>MIN(K79,M79)*Metodologia!$B$16</x:f>
        <x:v>58.5</x:v>
      </x:c>
      <x:c r="V79" s="144" t="n">
        <x:f>SQRT(J79*AVERAGE(L79,N79)*Metodologia!$B$16)</x:f>
        <x:v>75.63068160475615</x:v>
      </x:c>
    </x:row>
    <x:row r="80" ht="22" customHeight="1">
      <x:c r="A80" s="82" t="n">
        <x:v>76</x:v>
      </x:c>
      <x:c r="B80" s="82" t="str">
        <x:v>Golem</x:v>
      </x:c>
      <x:c r="C80" s="82" t="str">
        <x:v>Pedra / Terra</x:v>
      </x:c>
      <x:c r="D80" s="82" t="str">
        <x:v>Orebound</x:v>
      </x:c>
      <x:c r="E80" s="82" t="n">
        <x:v>1</x:v>
      </x:c>
      <x:c r="F80" s="82" t="str">
        <x:f>IF(G80&gt;=80,"S+",IF(G80&gt;=72,"S",IF(G80&gt;=65,"A",IF(G80&gt;=58,"B",IF(G80&gt;=50,"C",IF(G80&gt;=42,"D","E"))))))</x:f>
        <x:v>A</x:v>
      </x:c>
      <x:c r="G80" s="142" t="n">
        <x:f>ROUND(100*(Metodologia!$B$17*(T80/Metodologia!$B$22)+Metodologia!$B$18*(U80/Metodologia!$B$23)+Metodologia!$B$19*(V80/Metodologia!$B$24)+Metodologia!$B$20*(O80/Metodologia!$B$25)+Metodologia!$B$21*(I80/Metodologia!$B$26)),2)</x:f>
        <x:v>68.14</x:v>
      </x:c>
      <x:c r="H80" s="82" t="n">
        <x:f>IF(R80&lt;&gt;"Rankeado","",COUNTIFS($R$5:$R$255,"Rankeado",$G$5:$G$255,"&gt;"&amp;G80)+COUNTIFS($R$5:R80,"Rankeado",$G$5:G80,G80))</x:f>
        <x:v>23</x:v>
      </x:c>
      <x:c r="I80" s="82" t="n">
        <x:f>SUM(J80:O80)</x:f>
        <x:v>495</x:v>
      </x:c>
      <x:c r="J80" s="82" t="n">
        <x:v>80</x:v>
      </x:c>
      <x:c r="K80" s="82" t="n">
        <x:v>120</x:v>
      </x:c>
      <x:c r="L80" s="82" t="n">
        <x:v>130</x:v>
      </x:c>
      <x:c r="M80" s="82" t="n">
        <x:v>55</x:v>
      </x:c>
      <x:c r="N80" s="82" t="n">
        <x:v>65</x:v>
      </x:c>
      <x:c r="O80" s="82" t="n">
        <x:v>45</x:v>
      </x:c>
      <x:c r="P80" s="82" t="str">
        <x:v>Sim</x:v>
      </x:c>
      <x:c r="Q80" s="82" t="str">
        <x:v>Não</x:v>
      </x:c>
      <x:c r="R80" s="82" t="str">
        <x:v>Rankeado</x:v>
      </x:c>
      <x:c r="S80" s="82" t="str">
        <x:v>https://poke.idleworld.online/pokepedia/pokemon/golem</x:v>
      </x:c>
      <x:c r="T80" s="143" t="n">
        <x:f>MAX(K80,M80)*Metodologia!$B$16</x:f>
        <x:v>156</x:v>
      </x:c>
      <x:c r="U80" s="143" t="n">
        <x:f>MIN(K80,M80)*Metodologia!$B$16</x:f>
        <x:v>71.5</x:v>
      </x:c>
      <x:c r="V80" s="144" t="n">
        <x:f>SQRT(J80*AVERAGE(L80,N80)*Metodologia!$B$16)</x:f>
        <x:v>100.69756700139284</x:v>
      </x:c>
    </x:row>
    <x:row r="81" ht="22" customHeight="1">
      <x:c r="A81" s="82" t="n">
        <x:v>77</x:v>
      </x:c>
      <x:c r="B81" s="82" t="str">
        <x:v>Ponyta</x:v>
      </x:c>
      <x:c r="C81" s="82" t="str">
        <x:v>Fogo</x:v>
      </x:c>
      <x:c r="D81" s="82" t="str">
        <x:v>Volcanic</x:v>
      </x:c>
      <x:c r="E81" s="82" t="n">
        <x:v>1</x:v>
      </x:c>
      <x:c r="F81" s="82" t="str">
        <x:f>IF(G81&gt;=80,"S+",IF(G81&gt;=72,"S",IF(G81&gt;=65,"A",IF(G81&gt;=58,"B",IF(G81&gt;=50,"C",IF(G81&gt;=42,"D","E"))))))</x:f>
        <x:v>C</x:v>
      </x:c>
      <x:c r="G81" s="142" t="n">
        <x:f>ROUND(100*(Metodologia!$B$17*(T81/Metodologia!$B$22)+Metodologia!$B$18*(U81/Metodologia!$B$23)+Metodologia!$B$19*(V81/Metodologia!$B$24)+Metodologia!$B$20*(O81/Metodologia!$B$25)+Metodologia!$B$21*(I81/Metodologia!$B$26)),2)</x:f>
        <x:v>54.08</x:v>
      </x:c>
      <x:c r="H81" s="82" t="n">
        <x:f>IF(R81&lt;&gt;"Rankeado","",COUNTIFS($R$5:$R$255,"Rankeado",$G$5:$G$255,"&gt;"&amp;G81)+COUNTIFS($R$5:R81,"Rankeado",$G$5:G81,G81))</x:f>
        <x:v>103</x:v>
      </x:c>
      <x:c r="I81" s="82" t="n">
        <x:f>SUM(J81:O81)</x:f>
        <x:v>410</x:v>
      </x:c>
      <x:c r="J81" s="82" t="n">
        <x:v>50</x:v>
      </x:c>
      <x:c r="K81" s="82" t="n">
        <x:v>85</x:v>
      </x:c>
      <x:c r="L81" s="82" t="n">
        <x:v>55</x:v>
      </x:c>
      <x:c r="M81" s="82" t="n">
        <x:v>65</x:v>
      </x:c>
      <x:c r="N81" s="82" t="n">
        <x:v>65</x:v>
      </x:c>
      <x:c r="O81" s="82" t="n">
        <x:v>90</x:v>
      </x:c>
      <x:c r="P81" s="82" t="str">
        <x:v>Sim</x:v>
      </x:c>
      <x:c r="Q81" s="82" t="str">
        <x:v>Não</x:v>
      </x:c>
      <x:c r="R81" s="82" t="str">
        <x:v>Rankeado</x:v>
      </x:c>
      <x:c r="S81" s="82" t="str">
        <x:v>https://poke.idleworld.online/pokepedia/pokemon/ponyta</x:v>
      </x:c>
      <x:c r="T81" s="143" t="n">
        <x:f>MAX(K81,M81)*Metodologia!$B$16</x:f>
        <x:v>110.5</x:v>
      </x:c>
      <x:c r="U81" s="143" t="n">
        <x:f>MIN(K81,M81)*Metodologia!$B$16</x:f>
        <x:v>84.5</x:v>
      </x:c>
      <x:c r="V81" s="144" t="n">
        <x:f>SQRT(J81*AVERAGE(L81,N81)*Metodologia!$B$16)</x:f>
        <x:v>62.44997998398398</x:v>
      </x:c>
    </x:row>
    <x:row r="82" ht="22" customHeight="1">
      <x:c r="A82" s="82" t="n">
        <x:v>78</x:v>
      </x:c>
      <x:c r="B82" s="82" t="str">
        <x:v>Rapidash</x:v>
      </x:c>
      <x:c r="C82" s="82" t="str">
        <x:v>Fogo</x:v>
      </x:c>
      <x:c r="D82" s="82" t="str">
        <x:v>Volcanic</x:v>
      </x:c>
      <x:c r="E82" s="82" t="n">
        <x:v>1</x:v>
      </x:c>
      <x:c r="F82" s="82" t="str">
        <x:f>IF(G82&gt;=80,"S+",IF(G82&gt;=72,"S",IF(G82&gt;=65,"A",IF(G82&gt;=58,"B",IF(G82&gt;=50,"C",IF(G82&gt;=42,"D","E"))))))</x:f>
        <x:v>B</x:v>
      </x:c>
      <x:c r="G82" s="142" t="n">
        <x:f>ROUND(100*(Metodologia!$B$17*(T82/Metodologia!$B$22)+Metodologia!$B$18*(U82/Metodologia!$B$23)+Metodologia!$B$19*(V82/Metodologia!$B$24)+Metodologia!$B$20*(O82/Metodologia!$B$25)+Metodologia!$B$21*(I82/Metodologia!$B$26)),2)</x:f>
        <x:v>64.61</x:v>
      </x:c>
      <x:c r="H82" s="82" t="n">
        <x:f>IF(R82&lt;&gt;"Rankeado","",COUNTIFS($R$5:$R$255,"Rankeado",$G$5:$G$255,"&gt;"&amp;G82)+COUNTIFS($R$5:R82,"Rankeado",$G$5:G82,G82))</x:f>
        <x:v>45</x:v>
      </x:c>
      <x:c r="I82" s="82" t="n">
        <x:f>SUM(J82:O82)</x:f>
        <x:v>500</x:v>
      </x:c>
      <x:c r="J82" s="82" t="n">
        <x:v>65</x:v>
      </x:c>
      <x:c r="K82" s="82" t="n">
        <x:v>100</x:v>
      </x:c>
      <x:c r="L82" s="82" t="n">
        <x:v>70</x:v>
      </x:c>
      <x:c r="M82" s="82" t="n">
        <x:v>80</x:v>
      </x:c>
      <x:c r="N82" s="82" t="n">
        <x:v>80</x:v>
      </x:c>
      <x:c r="O82" s="82" t="n">
        <x:v>105</x:v>
      </x:c>
      <x:c r="P82" s="82" t="str">
        <x:v>Sim</x:v>
      </x:c>
      <x:c r="Q82" s="82" t="str">
        <x:v>Não</x:v>
      </x:c>
      <x:c r="R82" s="82" t="str">
        <x:v>Rankeado</x:v>
      </x:c>
      <x:c r="S82" s="82" t="str">
        <x:v>https://poke.idleworld.online/pokepedia/pokemon/rapidash</x:v>
      </x:c>
      <x:c r="T82" s="143" t="n">
        <x:f>MAX(K82,M82)*Metodologia!$B$16</x:f>
        <x:v>130</x:v>
      </x:c>
      <x:c r="U82" s="143" t="n">
        <x:f>MIN(K82,M82)*Metodologia!$B$16</x:f>
        <x:v>104</x:v>
      </x:c>
      <x:c r="V82" s="144" t="n">
        <x:f>SQRT(J82*AVERAGE(L82,N82)*Metodologia!$B$16)</x:f>
        <x:v>79.60841664045329</x:v>
      </x:c>
    </x:row>
    <x:row r="83" ht="22" customHeight="1">
      <x:c r="A83" s="82" t="n">
        <x:v>79</x:v>
      </x:c>
      <x:c r="B83" s="82" t="str">
        <x:v>Slowpoke</x:v>
      </x:c>
      <x:c r="C83" s="82" t="str">
        <x:v>Água / Psíquico</x:v>
      </x:c>
      <x:c r="D83" s="82" t="str">
        <x:v>Psycraft / Seavell</x:v>
      </x:c>
      <x:c r="E83" s="82" t="n">
        <x:v>2</x:v>
      </x:c>
      <x:c r="F83" s="82" t="str">
        <x:f>IF(G83&gt;=80,"S+",IF(G83&gt;=72,"S",IF(G83&gt;=65,"A",IF(G83&gt;=58,"B",IF(G83&gt;=50,"C",IF(G83&gt;=42,"D","E"))))))</x:f>
        <x:v>E</x:v>
      </x:c>
      <x:c r="G83" s="142" t="n">
        <x:f>ROUND(100*(Metodologia!$B$17*(T83/Metodologia!$B$22)+Metodologia!$B$18*(U83/Metodologia!$B$23)+Metodologia!$B$19*(V83/Metodologia!$B$24)+Metodologia!$B$20*(O83/Metodologia!$B$25)+Metodologia!$B$21*(I83/Metodologia!$B$26)),2)</x:f>
        <x:v>39.86</x:v>
      </x:c>
      <x:c r="H83" s="82" t="n">
        <x:f>IF(R83&lt;&gt;"Rankeado","",COUNTIFS($R$5:$R$255,"Rankeado",$G$5:$G$255,"&gt;"&amp;G83)+COUNTIFS($R$5:R83,"Rankeado",$G$5:G83,G83))</x:f>
        <x:v>181</x:v>
      </x:c>
      <x:c r="I83" s="82" t="n">
        <x:f>SUM(J83:O83)</x:f>
        <x:v>315</x:v>
      </x:c>
      <x:c r="J83" s="82" t="n">
        <x:v>90</x:v>
      </x:c>
      <x:c r="K83" s="82" t="n">
        <x:v>65</x:v>
      </x:c>
      <x:c r="L83" s="82" t="n">
        <x:v>65</x:v>
      </x:c>
      <x:c r="M83" s="82" t="n">
        <x:v>40</x:v>
      </x:c>
      <x:c r="N83" s="82" t="n">
        <x:v>40</x:v>
      </x:c>
      <x:c r="O83" s="82" t="n">
        <x:v>15</x:v>
      </x:c>
      <x:c r="P83" s="82" t="str">
        <x:v>Sim</x:v>
      </x:c>
      <x:c r="Q83" s="82" t="str">
        <x:v>Não</x:v>
      </x:c>
      <x:c r="R83" s="82" t="str">
        <x:v>Rankeado</x:v>
      </x:c>
      <x:c r="S83" s="82" t="str">
        <x:v>https://poke.idleworld.online/pokepedia/pokemon/slowpoke</x:v>
      </x:c>
      <x:c r="T83" s="143" t="n">
        <x:f>MAX(K83,M83)*Metodologia!$B$16</x:f>
        <x:v>84.5</x:v>
      </x:c>
      <x:c r="U83" s="143" t="n">
        <x:f>MIN(K83,M83)*Metodologia!$B$16</x:f>
        <x:v>52</x:v>
      </x:c>
      <x:c r="V83" s="144" t="n">
        <x:f>SQRT(J83*AVERAGE(L83,N83)*Metodologia!$B$16)</x:f>
        <x:v>78.3741028656788</x:v>
      </x:c>
    </x:row>
    <x:row r="84" ht="22" customHeight="1">
      <x:c r="A84" s="82" t="n">
        <x:v>80</x:v>
      </x:c>
      <x:c r="B84" s="82" t="str">
        <x:v>Slowbro</x:v>
      </x:c>
      <x:c r="C84" s="82" t="str">
        <x:v>Água / Psíquico</x:v>
      </x:c>
      <x:c r="D84" s="82" t="str">
        <x:v>Psycraft / Seavell</x:v>
      </x:c>
      <x:c r="E84" s="82" t="n">
        <x:v>2</x:v>
      </x:c>
      <x:c r="F84" s="82" t="str">
        <x:f>IF(G84&gt;=80,"S+",IF(G84&gt;=72,"S",IF(G84&gt;=65,"A",IF(G84&gt;=58,"B",IF(G84&gt;=50,"C",IF(G84&gt;=42,"D","E"))))))</x:f>
        <x:v>B</x:v>
      </x:c>
      <x:c r="G84" s="142" t="n">
        <x:f>ROUND(100*(Metodologia!$B$17*(T84/Metodologia!$B$22)+Metodologia!$B$18*(U84/Metodologia!$B$23)+Metodologia!$B$19*(V84/Metodologia!$B$24)+Metodologia!$B$20*(O84/Metodologia!$B$25)+Metodologia!$B$21*(I84/Metodologia!$B$26)),2)</x:f>
        <x:v>61.86</x:v>
      </x:c>
      <x:c r="H84" s="82" t="n">
        <x:f>IF(R84&lt;&gt;"Rankeado","",COUNTIFS($R$5:$R$255,"Rankeado",$G$5:$G$255,"&gt;"&amp;G84)+COUNTIFS($R$5:R84,"Rankeado",$G$5:G84,G84))</x:f>
        <x:v>55</x:v>
      </x:c>
      <x:c r="I84" s="82" t="n">
        <x:f>SUM(J84:O84)</x:f>
        <x:v>490</x:v>
      </x:c>
      <x:c r="J84" s="82" t="n">
        <x:v>95</x:v>
      </x:c>
      <x:c r="K84" s="82" t="n">
        <x:v>75</x:v>
      </x:c>
      <x:c r="L84" s="82" t="n">
        <x:v>110</x:v>
      </x:c>
      <x:c r="M84" s="82" t="n">
        <x:v>100</x:v>
      </x:c>
      <x:c r="N84" s="82" t="n">
        <x:v>80</x:v>
      </x:c>
      <x:c r="O84" s="82" t="n">
        <x:v>30</x:v>
      </x:c>
      <x:c r="P84" s="82" t="str">
        <x:v>Sim</x:v>
      </x:c>
      <x:c r="Q84" s="82" t="str">
        <x:v>Não</x:v>
      </x:c>
      <x:c r="R84" s="82" t="str">
        <x:v>Rankeado</x:v>
      </x:c>
      <x:c r="S84" s="82" t="str">
        <x:v>https://poke.idleworld.online/pokepedia/pokemon/slowbro</x:v>
      </x:c>
      <x:c r="T84" s="143" t="n">
        <x:f>MAX(K84,M84)*Metodologia!$B$16</x:f>
        <x:v>130</x:v>
      </x:c>
      <x:c r="U84" s="143" t="n">
        <x:f>MIN(K84,M84)*Metodologia!$B$16</x:f>
        <x:v>97.5</x:v>
      </x:c>
      <x:c r="V84" s="144" t="n">
        <x:f>SQRT(J84*AVERAGE(L84,N84)*Metodologia!$B$16)</x:f>
        <x:v>108.3166653844181</x:v>
      </x:c>
    </x:row>
    <x:row r="85" ht="22" customHeight="1">
      <x:c r="A85" s="82" t="n">
        <x:v>81</x:v>
      </x:c>
      <x:c r="B85" s="82" t="str">
        <x:v>Magnemite</x:v>
      </x:c>
      <x:c r="C85" s="82" t="str">
        <x:v>Elétrico / Aço</x:v>
      </x:c>
      <x:c r="D85" s="82" t="str">
        <x:v>Raibolt / Ironhard</x:v>
      </x:c>
      <x:c r="E85" s="82" t="n">
        <x:v>2</x:v>
      </x:c>
      <x:c r="F85" s="82" t="str">
        <x:f>IF(G85&gt;=80,"S+",IF(G85&gt;=72,"S",IF(G85&gt;=65,"A",IF(G85&gt;=58,"B",IF(G85&gt;=50,"C",IF(G85&gt;=42,"D","E"))))))</x:f>
        <x:v>D</x:v>
      </x:c>
      <x:c r="G85" s="142" t="n">
        <x:f>ROUND(100*(Metodologia!$B$17*(T85/Metodologia!$B$22)+Metodologia!$B$18*(U85/Metodologia!$B$23)+Metodologia!$B$19*(V85/Metodologia!$B$24)+Metodologia!$B$20*(O85/Metodologia!$B$25)+Metodologia!$B$21*(I85/Metodologia!$B$26)),2)</x:f>
        <x:v>49.95</x:v>
      </x:c>
      <x:c r="H85" s="82" t="n">
        <x:f>IF(R85&lt;&gt;"Rankeado","",COUNTIFS($R$5:$R$255,"Rankeado",$G$5:$G$255,"&gt;"&amp;G85)+COUNTIFS($R$5:R85,"Rankeado",$G$5:G85,G85))</x:f>
        <x:v>133</x:v>
      </x:c>
      <x:c r="I85" s="82" t="n">
        <x:f>SUM(J85:O85)</x:f>
        <x:v>325</x:v>
      </x:c>
      <x:c r="J85" s="82" t="n">
        <x:v>25</x:v>
      </x:c>
      <x:c r="K85" s="82" t="n">
        <x:v>35</x:v>
      </x:c>
      <x:c r="L85" s="82" t="n">
        <x:v>70</x:v>
      </x:c>
      <x:c r="M85" s="82" t="n">
        <x:v>95</x:v>
      </x:c>
      <x:c r="N85" s="82" t="n">
        <x:v>55</x:v>
      </x:c>
      <x:c r="O85" s="82" t="n">
        <x:v>45</x:v>
      </x:c>
      <x:c r="P85" s="82" t="str">
        <x:v>Sim</x:v>
      </x:c>
      <x:c r="Q85" s="82" t="str">
        <x:v>Não</x:v>
      </x:c>
      <x:c r="R85" s="82" t="str">
        <x:v>Rankeado</x:v>
      </x:c>
      <x:c r="S85" s="82" t="str">
        <x:v>https://poke.idleworld.online/pokepedia/pokemon/magnemite</x:v>
      </x:c>
      <x:c r="T85" s="143" t="n">
        <x:f>MAX(K85,M85)*Metodologia!$B$16</x:f>
        <x:v>123.5</x:v>
      </x:c>
      <x:c r="U85" s="143" t="n">
        <x:f>MIN(K85,M85)*Metodologia!$B$16</x:f>
        <x:v>45.5</x:v>
      </x:c>
      <x:c r="V85" s="144" t="n">
        <x:f>SQRT(J85*AVERAGE(L85,N85)*Metodologia!$B$16)</x:f>
        <x:v>45.069390943299865</x:v>
      </x:c>
    </x:row>
    <x:row r="86" ht="22" customHeight="1">
      <x:c r="A86" s="82" t="n">
        <x:v>82</x:v>
      </x:c>
      <x:c r="B86" s="82" t="str">
        <x:v>Magneton</x:v>
      </x:c>
      <x:c r="C86" s="82" t="str">
        <x:v>Elétrico / Aço</x:v>
      </x:c>
      <x:c r="D86" s="82" t="str">
        <x:v>Raibolt / Ironhard</x:v>
      </x:c>
      <x:c r="E86" s="82" t="n">
        <x:v>2</x:v>
      </x:c>
      <x:c r="F86" s="82" t="str">
        <x:f>IF(G86&gt;=80,"S+",IF(G86&gt;=72,"S",IF(G86&gt;=65,"A",IF(G86&gt;=58,"B",IF(G86&gt;=50,"C",IF(G86&gt;=42,"D","E"))))))</x:f>
        <x:v>A</x:v>
      </x:c>
      <x:c r="G86" s="142" t="n">
        <x:f>ROUND(100*(Metodologia!$B$17*(T86/Metodologia!$B$22)+Metodologia!$B$18*(U86/Metodologia!$B$23)+Metodologia!$B$19*(V86/Metodologia!$B$24)+Metodologia!$B$20*(O86/Metodologia!$B$25)+Metodologia!$B$21*(I86/Metodologia!$B$26)),2)</x:f>
        <x:v>67.38</x:v>
      </x:c>
      <x:c r="H86" s="82" t="n">
        <x:f>IF(R86&lt;&gt;"Rankeado","",COUNTIFS($R$5:$R$255,"Rankeado",$G$5:$G$255,"&gt;"&amp;G86)+COUNTIFS($R$5:R86,"Rankeado",$G$5:G86,G86))</x:f>
        <x:v>27</x:v>
      </x:c>
      <x:c r="I86" s="82" t="n">
        <x:f>SUM(J86:O86)</x:f>
        <x:v>465</x:v>
      </x:c>
      <x:c r="J86" s="82" t="n">
        <x:v>50</x:v>
      </x:c>
      <x:c r="K86" s="82" t="n">
        <x:v>60</x:v>
      </x:c>
      <x:c r="L86" s="82" t="n">
        <x:v>95</x:v>
      </x:c>
      <x:c r="M86" s="82" t="n">
        <x:v>120</x:v>
      </x:c>
      <x:c r="N86" s="82" t="n">
        <x:v>70</x:v>
      </x:c>
      <x:c r="O86" s="82" t="n">
        <x:v>70</x:v>
      </x:c>
      <x:c r="P86" s="82" t="str">
        <x:v>Sim</x:v>
      </x:c>
      <x:c r="Q86" s="82" t="str">
        <x:v>Não</x:v>
      </x:c>
      <x:c r="R86" s="82" t="str">
        <x:v>Rankeado</x:v>
      </x:c>
      <x:c r="S86" s="82" t="str">
        <x:v>https://poke.idleworld.online/pokepedia/pokemon/magneton</x:v>
      </x:c>
      <x:c r="T86" s="143" t="n">
        <x:f>MAX(K86,M86)*Metodologia!$B$16</x:f>
        <x:v>156</x:v>
      </x:c>
      <x:c r="U86" s="143" t="n">
        <x:f>MIN(K86,M86)*Metodologia!$B$16</x:f>
        <x:v>78</x:v>
      </x:c>
      <x:c r="V86" s="144" t="n">
        <x:f>SQRT(J86*AVERAGE(L86,N86)*Metodologia!$B$16)</x:f>
        <x:v>73.22909257938404</x:v>
      </x:c>
    </x:row>
    <x:row r="87" ht="22" customHeight="1">
      <x:c r="A87" s="82" t="n">
        <x:v>83</x:v>
      </x:c>
      <x:c r="B87" s="82" t="str">
        <x:v>Farfetch'd</x:v>
      </x:c>
      <x:c r="C87" s="82" t="str">
        <x:v>Normal / Voador</x:v>
      </x:c>
      <x:c r="D87" s="82" t="str">
        <x:v>Gardestrike / Wingeon</x:v>
      </x:c>
      <x:c r="E87" s="82" t="n">
        <x:v>2</x:v>
      </x:c>
      <x:c r="F87" s="82" t="str">
        <x:f>IF(G87&gt;=80,"S+",IF(G87&gt;=72,"S",IF(G87&gt;=65,"A",IF(G87&gt;=58,"B",IF(G87&gt;=50,"C",IF(G87&gt;=42,"D","E"))))))</x:f>
        <x:v>C</x:v>
      </x:c>
      <x:c r="G87" s="142" t="n">
        <x:f>ROUND(100*(Metodologia!$B$17*(T87/Metodologia!$B$22)+Metodologia!$B$18*(U87/Metodologia!$B$23)+Metodologia!$B$19*(V87/Metodologia!$B$24)+Metodologia!$B$20*(O87/Metodologia!$B$25)+Metodologia!$B$21*(I87/Metodologia!$B$26)),2)</x:f>
        <x:v>53.19</x:v>
      </x:c>
      <x:c r="H87" s="82" t="n">
        <x:f>IF(R87&lt;&gt;"Rankeado","",COUNTIFS($R$5:$R$255,"Rankeado",$G$5:$G$255,"&gt;"&amp;G87)+COUNTIFS($R$5:R87,"Rankeado",$G$5:G87,G87))</x:f>
        <x:v>114</x:v>
      </x:c>
      <x:c r="I87" s="82" t="n">
        <x:f>SUM(J87:O87)</x:f>
        <x:v>377</x:v>
      </x:c>
      <x:c r="J87" s="82" t="n">
        <x:v>52</x:v>
      </x:c>
      <x:c r="K87" s="82" t="n">
        <x:v>90</x:v>
      </x:c>
      <x:c r="L87" s="82" t="n">
        <x:v>55</x:v>
      </x:c>
      <x:c r="M87" s="82" t="n">
        <x:v>58</x:v>
      </x:c>
      <x:c r="N87" s="82" t="n">
        <x:v>62</x:v>
      </x:c>
      <x:c r="O87" s="82" t="n">
        <x:v>60</x:v>
      </x:c>
      <x:c r="P87" s="82" t="str">
        <x:v>Sim</x:v>
      </x:c>
      <x:c r="Q87" s="82" t="str">
        <x:v>Não</x:v>
      </x:c>
      <x:c r="R87" s="82" t="str">
        <x:v>Rankeado</x:v>
      </x:c>
      <x:c r="S87" s="82" t="str">
        <x:v>https://poke.idleworld.online/pokepedia/pokemon/farfetchd</x:v>
      </x:c>
      <x:c r="T87" s="143" t="n">
        <x:f>MAX(K87,M87)*Metodologia!$B$16</x:f>
        <x:v>117</x:v>
      </x:c>
      <x:c r="U87" s="143" t="n">
        <x:f>MIN(K87,M87)*Metodologia!$B$16</x:f>
        <x:v>75.4</x:v>
      </x:c>
      <x:c r="V87" s="144" t="n">
        <x:f>SQRT(J87*AVERAGE(L87,N87)*Metodologia!$B$16)</x:f>
        <x:v>62.88561043672868</x:v>
      </x:c>
    </x:row>
    <x:row r="88" ht="22" customHeight="1">
      <x:c r="A88" s="82" t="n">
        <x:v>84</x:v>
      </x:c>
      <x:c r="B88" s="82" t="str">
        <x:v>Doduo</x:v>
      </x:c>
      <x:c r="C88" s="82" t="str">
        <x:v>Normal / Voador</x:v>
      </x:c>
      <x:c r="D88" s="82" t="str">
        <x:v>Gardestrike / Wingeon</x:v>
      </x:c>
      <x:c r="E88" s="82" t="n">
        <x:v>2</x:v>
      </x:c>
      <x:c r="F88" s="82" t="str">
        <x:f>IF(G88&gt;=80,"S+",IF(G88&gt;=72,"S",IF(G88&gt;=65,"A",IF(G88&gt;=58,"B",IF(G88&gt;=50,"C",IF(G88&gt;=42,"D","E"))))))</x:f>
        <x:v>D</x:v>
      </x:c>
      <x:c r="G88" s="142" t="n">
        <x:f>ROUND(100*(Metodologia!$B$17*(T88/Metodologia!$B$22)+Metodologia!$B$18*(U88/Metodologia!$B$23)+Metodologia!$B$19*(V88/Metodologia!$B$24)+Metodologia!$B$20*(O88/Metodologia!$B$25)+Metodologia!$B$21*(I88/Metodologia!$B$26)),2)</x:f>
        <x:v>47.71</x:v>
      </x:c>
      <x:c r="H88" s="82" t="n">
        <x:f>IF(R88&lt;&gt;"Rankeado","",COUNTIFS($R$5:$R$255,"Rankeado",$G$5:$G$255,"&gt;"&amp;G88)+COUNTIFS($R$5:R88,"Rankeado",$G$5:G88,G88))</x:f>
        <x:v>142</x:v>
      </x:c>
      <x:c r="I88" s="82" t="n">
        <x:f>SUM(J88:O88)</x:f>
        <x:v>310</x:v>
      </x:c>
      <x:c r="J88" s="82" t="n">
        <x:v>35</x:v>
      </x:c>
      <x:c r="K88" s="82" t="n">
        <x:v>85</x:v>
      </x:c>
      <x:c r="L88" s="82" t="n">
        <x:v>45</x:v>
      </x:c>
      <x:c r="M88" s="82" t="n">
        <x:v>35</x:v>
      </x:c>
      <x:c r="N88" s="82" t="n">
        <x:v>35</x:v>
      </x:c>
      <x:c r="O88" s="82" t="n">
        <x:v>75</x:v>
      </x:c>
      <x:c r="P88" s="82" t="str">
        <x:v>Sim</x:v>
      </x:c>
      <x:c r="Q88" s="82" t="str">
        <x:v>Não</x:v>
      </x:c>
      <x:c r="R88" s="82" t="str">
        <x:v>Rankeado</x:v>
      </x:c>
      <x:c r="S88" s="82" t="str">
        <x:v>https://poke.idleworld.online/pokepedia/pokemon/doduo</x:v>
      </x:c>
      <x:c r="T88" s="143" t="n">
        <x:f>MAX(K88,M88)*Metodologia!$B$16</x:f>
        <x:v>110.5</x:v>
      </x:c>
      <x:c r="U88" s="143" t="n">
        <x:f>MIN(K88,M88)*Metodologia!$B$16</x:f>
        <x:v>45.5</x:v>
      </x:c>
      <x:c r="V88" s="144" t="n">
        <x:f>SQRT(J88*AVERAGE(L88,N88)*Metodologia!$B$16)</x:f>
        <x:v>42.661458015403085</x:v>
      </x:c>
    </x:row>
    <x:row r="89" ht="22" customHeight="1">
      <x:c r="A89" s="82" t="n">
        <x:v>85</x:v>
      </x:c>
      <x:c r="B89" s="82" t="str">
        <x:v>Dodrio</x:v>
      </x:c>
      <x:c r="C89" s="82" t="str">
        <x:v>Normal / Voador</x:v>
      </x:c>
      <x:c r="D89" s="82" t="str">
        <x:v>Gardestrike / Wingeon</x:v>
      </x:c>
      <x:c r="E89" s="82" t="n">
        <x:v>2</x:v>
      </x:c>
      <x:c r="F89" s="82" t="str">
        <x:f>IF(G89&gt;=80,"S+",IF(G89&gt;=72,"S",IF(G89&gt;=65,"A",IF(G89&gt;=58,"B",IF(G89&gt;=50,"C",IF(G89&gt;=42,"D","E"))))))</x:f>
        <x:v>A</x:v>
      </x:c>
      <x:c r="G89" s="142" t="n">
        <x:f>ROUND(100*(Metodologia!$B$17*(T89/Metodologia!$B$22)+Metodologia!$B$18*(U89/Metodologia!$B$23)+Metodologia!$B$19*(V89/Metodologia!$B$24)+Metodologia!$B$20*(O89/Metodologia!$B$25)+Metodologia!$B$21*(I89/Metodologia!$B$26)),2)</x:f>
        <x:v>65.99</x:v>
      </x:c>
      <x:c r="H89" s="82" t="n">
        <x:f>IF(R89&lt;&gt;"Rankeado","",COUNTIFS($R$5:$R$255,"Rankeado",$G$5:$G$255,"&gt;"&amp;G89)+COUNTIFS($R$5:R89,"Rankeado",$G$5:G89,G89))</x:f>
        <x:v>37</x:v>
      </x:c>
      <x:c r="I89" s="82" t="n">
        <x:f>SUM(J89:O89)</x:f>
        <x:v>470</x:v>
      </x:c>
      <x:c r="J89" s="82" t="n">
        <x:v>60</x:v>
      </x:c>
      <x:c r="K89" s="82" t="n">
        <x:v>110</x:v>
      </x:c>
      <x:c r="L89" s="82" t="n">
        <x:v>70</x:v>
      </x:c>
      <x:c r="M89" s="82" t="n">
        <x:v>60</x:v>
      </x:c>
      <x:c r="N89" s="82" t="n">
        <x:v>60</x:v>
      </x:c>
      <x:c r="O89" s="82" t="n">
        <x:v>110</x:v>
      </x:c>
      <x:c r="P89" s="82" t="str">
        <x:v>Sim</x:v>
      </x:c>
      <x:c r="Q89" s="82" t="str">
        <x:v>Não</x:v>
      </x:c>
      <x:c r="R89" s="82" t="str">
        <x:v>Rankeado</x:v>
      </x:c>
      <x:c r="S89" s="82" t="str">
        <x:v>https://poke.idleworld.online/pokepedia/pokemon/dodrio</x:v>
      </x:c>
      <x:c r="T89" s="143" t="n">
        <x:f>MAX(K89,M89)*Metodologia!$B$16</x:f>
        <x:v>143</x:v>
      </x:c>
      <x:c r="U89" s="143" t="n">
        <x:f>MIN(K89,M89)*Metodologia!$B$16</x:f>
        <x:v>78</x:v>
      </x:c>
      <x:c r="V89" s="144" t="n">
        <x:f>SQRT(J89*AVERAGE(L89,N89)*Metodologia!$B$16)</x:f>
        <x:v>71.20393247567159</x:v>
      </x:c>
    </x:row>
    <x:row r="90" ht="22" customHeight="1">
      <x:c r="A90" s="82" t="n">
        <x:v>86</x:v>
      </x:c>
      <x:c r="B90" s="82" t="str">
        <x:v>Seel</x:v>
      </x:c>
      <x:c r="C90" s="82" t="str">
        <x:v>Água</x:v>
      </x:c>
      <x:c r="D90" s="82" t="str">
        <x:v>Seavell</x:v>
      </x:c>
      <x:c r="E90" s="82" t="n">
        <x:v>1</x:v>
      </x:c>
      <x:c r="F90" s="82" t="str">
        <x:f>IF(G90&gt;=80,"S+",IF(G90&gt;=72,"S",IF(G90&gt;=65,"A",IF(G90&gt;=58,"B",IF(G90&gt;=50,"C",IF(G90&gt;=42,"D","E"))))))</x:f>
        <x:v>E</x:v>
      </x:c>
      <x:c r="G90" s="142" t="n">
        <x:f>ROUND(100*(Metodologia!$B$17*(T90/Metodologia!$B$22)+Metodologia!$B$18*(U90/Metodologia!$B$23)+Metodologia!$B$19*(V90/Metodologia!$B$24)+Metodologia!$B$20*(O90/Metodologia!$B$25)+Metodologia!$B$21*(I90/Metodologia!$B$26)),2)</x:f>
        <x:v>34.04</x:v>
      </x:c>
      <x:c r="H90" s="82" t="n">
        <x:f>IF(R90&lt;&gt;"Rankeado","",COUNTIFS($R$5:$R$255,"Rankeado",$G$5:$G$255,"&gt;"&amp;G90)+COUNTIFS($R$5:R90,"Rankeado",$G$5:G90,G90))</x:f>
        <x:v>212</x:v>
      </x:c>
      <x:c r="I90" s="82" t="n">
        <x:f>SUM(J90:O90)</x:f>
        <x:v>325</x:v>
      </x:c>
      <x:c r="J90" s="82" t="n">
        <x:v>65</x:v>
      </x:c>
      <x:c r="K90" s="82" t="n">
        <x:v>45</x:v>
      </x:c>
      <x:c r="L90" s="82" t="n">
        <x:v>55</x:v>
      </x:c>
      <x:c r="M90" s="82" t="n">
        <x:v>45</x:v>
      </x:c>
      <x:c r="N90" s="82" t="n">
        <x:v>70</x:v>
      </x:c>
      <x:c r="O90" s="82" t="n">
        <x:v>45</x:v>
      </x:c>
      <x:c r="P90" s="82" t="str">
        <x:v>Sim</x:v>
      </x:c>
      <x:c r="Q90" s="82" t="str">
        <x:v>Não</x:v>
      </x:c>
      <x:c r="R90" s="82" t="str">
        <x:v>Rankeado</x:v>
      </x:c>
      <x:c r="S90" s="82" t="str">
        <x:v>https://poke.idleworld.online/pokepedia/pokemon/seel</x:v>
      </x:c>
      <x:c r="T90" s="143" t="n">
        <x:f>MAX(K90,M90)*Metodologia!$B$16</x:f>
        <x:v>58.5</x:v>
      </x:c>
      <x:c r="U90" s="143" t="n">
        <x:f>MIN(K90,M90)*Metodologia!$B$16</x:f>
        <x:v>58.5</x:v>
      </x:c>
      <x:c r="V90" s="144" t="n">
        <x:f>SQRT(J90*AVERAGE(L90,N90)*Metodologia!$B$16)</x:f>
        <x:v>72.67220926874316</x:v>
      </x:c>
    </x:row>
    <x:row r="91" ht="22" customHeight="1">
      <x:c r="A91" s="82" t="n">
        <x:v>87</x:v>
      </x:c>
      <x:c r="B91" s="82" t="str">
        <x:v>Dewgong</x:v>
      </x:c>
      <x:c r="C91" s="82" t="str">
        <x:v>Água / Gelo</x:v>
      </x:c>
      <x:c r="D91" s="82" t="str">
        <x:v>Seavell</x:v>
      </x:c>
      <x:c r="E91" s="82" t="n">
        <x:v>1</x:v>
      </x:c>
      <x:c r="F91" s="82" t="str">
        <x:f>IF(G91&gt;=80,"S+",IF(G91&gt;=72,"S",IF(G91&gt;=65,"A",IF(G91&gt;=58,"B",IF(G91&gt;=50,"C",IF(G91&gt;=42,"D","E"))))))</x:f>
        <x:v>C</x:v>
      </x:c>
      <x:c r="G91" s="142" t="n">
        <x:f>ROUND(100*(Metodologia!$B$17*(T91/Metodologia!$B$22)+Metodologia!$B$18*(U91/Metodologia!$B$23)+Metodologia!$B$19*(V91/Metodologia!$B$24)+Metodologia!$B$20*(O91/Metodologia!$B$25)+Metodologia!$B$21*(I91/Metodologia!$B$26)),2)</x:f>
        <x:v>51.59</x:v>
      </x:c>
      <x:c r="H91" s="82" t="n">
        <x:f>IF(R91&lt;&gt;"Rankeado","",COUNTIFS($R$5:$R$255,"Rankeado",$G$5:$G$255,"&gt;"&amp;G91)+COUNTIFS($R$5:R91,"Rankeado",$G$5:G91,G91))</x:f>
        <x:v>125</x:v>
      </x:c>
      <x:c r="I91" s="82" t="n">
        <x:f>SUM(J91:O91)</x:f>
        <x:v>475</x:v>
      </x:c>
      <x:c r="J91" s="82" t="n">
        <x:v>90</x:v>
      </x:c>
      <x:c r="K91" s="82" t="n">
        <x:v>70</x:v>
      </x:c>
      <x:c r="L91" s="82" t="n">
        <x:v>80</x:v>
      </x:c>
      <x:c r="M91" s="82" t="n">
        <x:v>70</x:v>
      </x:c>
      <x:c r="N91" s="82" t="n">
        <x:v>95</x:v>
      </x:c>
      <x:c r="O91" s="82" t="n">
        <x:v>70</x:v>
      </x:c>
      <x:c r="P91" s="82" t="str">
        <x:v>Sim</x:v>
      </x:c>
      <x:c r="Q91" s="82" t="str">
        <x:v>Não</x:v>
      </x:c>
      <x:c r="R91" s="82" t="str">
        <x:v>Rankeado</x:v>
      </x:c>
      <x:c r="S91" s="82" t="str">
        <x:v>https://poke.idleworld.online/pokepedia/pokemon/dewgong</x:v>
      </x:c>
      <x:c r="T91" s="143" t="n">
        <x:f>MAX(K91,M91)*Metodologia!$B$16</x:f>
        <x:v>91</x:v>
      </x:c>
      <x:c r="U91" s="143" t="n">
        <x:f>MIN(K91,M91)*Metodologia!$B$16</x:f>
        <x:v>91</x:v>
      </x:c>
      <x:c r="V91" s="144" t="n">
        <x:f>SQRT(J91*AVERAGE(L91,N91)*Metodologia!$B$16)</x:f>
        <x:v>101.18053172424031</x:v>
      </x:c>
    </x:row>
    <x:row r="92" ht="22" customHeight="1">
      <x:c r="A92" s="82" t="n">
        <x:v>88</x:v>
      </x:c>
      <x:c r="B92" s="82" t="str">
        <x:v>Grimer</x:v>
      </x:c>
      <x:c r="C92" s="82" t="str">
        <x:v>Veneno</x:v>
      </x:c>
      <x:c r="D92" s="82" t="str">
        <x:v>Malefic</x:v>
      </x:c>
      <x:c r="E92" s="82" t="n">
        <x:v>1</x:v>
      </x:c>
      <x:c r="F92" s="82" t="str">
        <x:f>IF(G92&gt;=80,"S+",IF(G92&gt;=72,"S",IF(G92&gt;=65,"A",IF(G92&gt;=58,"B",IF(G92&gt;=50,"C",IF(G92&gt;=42,"D","E"))))))</x:f>
        <x:v>D</x:v>
      </x:c>
      <x:c r="G92" s="142" t="n">
        <x:f>ROUND(100*(Metodologia!$B$17*(T92/Metodologia!$B$22)+Metodologia!$B$18*(U92/Metodologia!$B$23)+Metodologia!$B$19*(V92/Metodologia!$B$24)+Metodologia!$B$20*(O92/Metodologia!$B$25)+Metodologia!$B$21*(I92/Metodologia!$B$26)),2)</x:f>
        <x:v>45.84</x:v>
      </x:c>
      <x:c r="H92" s="82" t="n">
        <x:f>IF(R92&lt;&gt;"Rankeado","",COUNTIFS($R$5:$R$255,"Rankeado",$G$5:$G$255,"&gt;"&amp;G92)+COUNTIFS($R$5:R92,"Rankeado",$G$5:G92,G92))</x:f>
        <x:v>148</x:v>
      </x:c>
      <x:c r="I92" s="82" t="n">
        <x:f>SUM(J92:O92)</x:f>
        <x:v>325</x:v>
      </x:c>
      <x:c r="J92" s="82" t="n">
        <x:v>80</x:v>
      </x:c>
      <x:c r="K92" s="82" t="n">
        <x:v>80</x:v>
      </x:c>
      <x:c r="L92" s="82" t="n">
        <x:v>50</x:v>
      </x:c>
      <x:c r="M92" s="82" t="n">
        <x:v>40</x:v>
      </x:c>
      <x:c r="N92" s="82" t="n">
        <x:v>50</x:v>
      </x:c>
      <x:c r="O92" s="82" t="n">
        <x:v>25</x:v>
      </x:c>
      <x:c r="P92" s="82" t="str">
        <x:v>Sim</x:v>
      </x:c>
      <x:c r="Q92" s="82" t="str">
        <x:v>Não</x:v>
      </x:c>
      <x:c r="R92" s="82" t="str">
        <x:v>Rankeado</x:v>
      </x:c>
      <x:c r="S92" s="82" t="str">
        <x:v>https://poke.idleworld.online/pokepedia/pokemon/grimer</x:v>
      </x:c>
      <x:c r="T92" s="143" t="n">
        <x:f>MAX(K92,M92)*Metodologia!$B$16</x:f>
        <x:v>104</x:v>
      </x:c>
      <x:c r="U92" s="143" t="n">
        <x:f>MIN(K92,M92)*Metodologia!$B$16</x:f>
        <x:v>52</x:v>
      </x:c>
      <x:c r="V92" s="144" t="n">
        <x:f>SQRT(J92*AVERAGE(L92,N92)*Metodologia!$B$16)</x:f>
        <x:v>72.11102550927978</x:v>
      </x:c>
    </x:row>
    <x:row r="93" ht="22" customHeight="1">
      <x:c r="A93" s="82" t="n">
        <x:v>89</x:v>
      </x:c>
      <x:c r="B93" s="82" t="str">
        <x:v>Muk</x:v>
      </x:c>
      <x:c r="C93" s="82" t="str">
        <x:v>Veneno</x:v>
      </x:c>
      <x:c r="D93" s="82" t="str">
        <x:v>Malefic</x:v>
      </x:c>
      <x:c r="E93" s="82" t="n">
        <x:v>1</x:v>
      </x:c>
      <x:c r="F93" s="82" t="str">
        <x:f>IF(G93&gt;=80,"S+",IF(G93&gt;=72,"S",IF(G93&gt;=65,"A",IF(G93&gt;=58,"B",IF(G93&gt;=50,"C",IF(G93&gt;=42,"D","E"))))))</x:f>
        <x:v>B</x:v>
      </x:c>
      <x:c r="G93" s="142" t="n">
        <x:f>ROUND(100*(Metodologia!$B$17*(T93/Metodologia!$B$22)+Metodologia!$B$18*(U93/Metodologia!$B$23)+Metodologia!$B$19*(V93/Metodologia!$B$24)+Metodologia!$B$20*(O93/Metodologia!$B$25)+Metodologia!$B$21*(I93/Metodologia!$B$26)),2)</x:f>
        <x:v>64.4</x:v>
      </x:c>
      <x:c r="H93" s="82" t="n">
        <x:f>IF(R93&lt;&gt;"Rankeado","",COUNTIFS($R$5:$R$255,"Rankeado",$G$5:$G$255,"&gt;"&amp;G93)+COUNTIFS($R$5:R93,"Rankeado",$G$5:G93,G93))</x:f>
        <x:v>47</x:v>
      </x:c>
      <x:c r="I93" s="82" t="n">
        <x:f>SUM(J93:O93)</x:f>
        <x:v>500</x:v>
      </x:c>
      <x:c r="J93" s="82" t="n">
        <x:v>105</x:v>
      </x:c>
      <x:c r="K93" s="82" t="n">
        <x:v>105</x:v>
      </x:c>
      <x:c r="L93" s="82" t="n">
        <x:v>75</x:v>
      </x:c>
      <x:c r="M93" s="82" t="n">
        <x:v>65</x:v>
      </x:c>
      <x:c r="N93" s="82" t="n">
        <x:v>100</x:v>
      </x:c>
      <x:c r="O93" s="82" t="n">
        <x:v>50</x:v>
      </x:c>
      <x:c r="P93" s="82" t="str">
        <x:v>Sim</x:v>
      </x:c>
      <x:c r="Q93" s="82" t="str">
        <x:v>Não</x:v>
      </x:c>
      <x:c r="R93" s="82" t="str">
        <x:v>Rankeado</x:v>
      </x:c>
      <x:c r="S93" s="82" t="str">
        <x:v>https://poke.idleworld.online/pokepedia/pokemon/muk</x:v>
      </x:c>
      <x:c r="T93" s="143" t="n">
        <x:f>MAX(K93,M93)*Metodologia!$B$16</x:f>
        <x:v>136.5</x:v>
      </x:c>
      <x:c r="U93" s="143" t="n">
        <x:f>MIN(K93,M93)*Metodologia!$B$16</x:f>
        <x:v>84.5</x:v>
      </x:c>
      <x:c r="V93" s="144" t="n">
        <x:f>SQRT(J93*AVERAGE(L93,N93)*Metodologia!$B$16)</x:f>
        <x:v>109.28746497197197</x:v>
      </x:c>
    </x:row>
    <x:row r="94" ht="22" customHeight="1">
      <x:c r="A94" s="82" t="n">
        <x:v>90</x:v>
      </x:c>
      <x:c r="B94" s="82" t="str">
        <x:v>Shellder</x:v>
      </x:c>
      <x:c r="C94" s="82" t="str">
        <x:v>Água</x:v>
      </x:c>
      <x:c r="D94" s="82" t="str">
        <x:v>Seavell</x:v>
      </x:c>
      <x:c r="E94" s="82" t="n">
        <x:v>1</x:v>
      </x:c>
      <x:c r="F94" s="82" t="str">
        <x:f>IF(G94&gt;=80,"S+",IF(G94&gt;=72,"S",IF(G94&gt;=65,"A",IF(G94&gt;=58,"B",IF(G94&gt;=50,"C",IF(G94&gt;=42,"D","E"))))))</x:f>
        <x:v>E</x:v>
      </x:c>
      <x:c r="G94" s="142" t="n">
        <x:f>ROUND(100*(Metodologia!$B$17*(T94/Metodologia!$B$22)+Metodologia!$B$18*(U94/Metodologia!$B$23)+Metodologia!$B$19*(V94/Metodologia!$B$24)+Metodologia!$B$20*(O94/Metodologia!$B$25)+Metodologia!$B$21*(I94/Metodologia!$B$26)),2)</x:f>
        <x:v>39.1</x:v>
      </x:c>
      <x:c r="H94" s="82" t="n">
        <x:f>IF(R94&lt;&gt;"Rankeado","",COUNTIFS($R$5:$R$255,"Rankeado",$G$5:$G$255,"&gt;"&amp;G94)+COUNTIFS($R$5:R94,"Rankeado",$G$5:G94,G94))</x:f>
        <x:v>187</x:v>
      </x:c>
      <x:c r="I94" s="82" t="n">
        <x:f>SUM(J94:O94)</x:f>
        <x:v>305</x:v>
      </x:c>
      <x:c r="J94" s="82" t="n">
        <x:v>30</x:v>
      </x:c>
      <x:c r="K94" s="82" t="n">
        <x:v>65</x:v>
      </x:c>
      <x:c r="L94" s="82" t="n">
        <x:v>100</x:v>
      </x:c>
      <x:c r="M94" s="82" t="n">
        <x:v>45</x:v>
      </x:c>
      <x:c r="N94" s="82" t="n">
        <x:v>25</x:v>
      </x:c>
      <x:c r="O94" s="82" t="n">
        <x:v>40</x:v>
      </x:c>
      <x:c r="P94" s="82" t="str">
        <x:v>Sim</x:v>
      </x:c>
      <x:c r="Q94" s="82" t="str">
        <x:v>Não</x:v>
      </x:c>
      <x:c r="R94" s="82" t="str">
        <x:v>Rankeado</x:v>
      </x:c>
      <x:c r="S94" s="82" t="str">
        <x:v>https://poke.idleworld.online/pokepedia/pokemon/shellder</x:v>
      </x:c>
      <x:c r="T94" s="143" t="n">
        <x:f>MAX(K94,M94)*Metodologia!$B$16</x:f>
        <x:v>84.5</x:v>
      </x:c>
      <x:c r="U94" s="143" t="n">
        <x:f>MIN(K94,M94)*Metodologia!$B$16</x:f>
        <x:v>58.5</x:v>
      </x:c>
      <x:c r="V94" s="144" t="n">
        <x:f>SQRT(J94*AVERAGE(L94,N94)*Metodologia!$B$16)</x:f>
        <x:v>49.371044145328746</x:v>
      </x:c>
    </x:row>
    <x:row r="95" ht="22" customHeight="1">
      <x:c r="A95" s="82" t="n">
        <x:v>91</x:v>
      </x:c>
      <x:c r="B95" s="82" t="str">
        <x:v>Cloyster</x:v>
      </x:c>
      <x:c r="C95" s="82" t="str">
        <x:v>Água / Gelo</x:v>
      </x:c>
      <x:c r="D95" s="82" t="str">
        <x:v>Seavell</x:v>
      </x:c>
      <x:c r="E95" s="82" t="n">
        <x:v>1</x:v>
      </x:c>
      <x:c r="F95" s="82" t="str">
        <x:f>IF(G95&gt;=80,"S+",IF(G95&gt;=72,"S",IF(G95&gt;=65,"A",IF(G95&gt;=58,"B",IF(G95&gt;=50,"C",IF(G95&gt;=42,"D","E"))))))</x:f>
        <x:v>B</x:v>
      </x:c>
      <x:c r="G95" s="142" t="n">
        <x:f>ROUND(100*(Metodologia!$B$17*(T95/Metodologia!$B$22)+Metodologia!$B$18*(U95/Metodologia!$B$23)+Metodologia!$B$19*(V95/Metodologia!$B$24)+Metodologia!$B$20*(O95/Metodologia!$B$25)+Metodologia!$B$21*(I95/Metodologia!$B$26)),2)</x:f>
        <x:v>61.54</x:v>
      </x:c>
      <x:c r="H95" s="82" t="n">
        <x:f>IF(R95&lt;&gt;"Rankeado","",COUNTIFS($R$5:$R$255,"Rankeado",$G$5:$G$255,"&gt;"&amp;G95)+COUNTIFS($R$5:R95,"Rankeado",$G$5:G95,G95))</x:f>
        <x:v>57</x:v>
      </x:c>
      <x:c r="I95" s="82" t="n">
        <x:f>SUM(J95:O95)</x:f>
        <x:v>525</x:v>
      </x:c>
      <x:c r="J95" s="82" t="n">
        <x:v>50</x:v>
      </x:c>
      <x:c r="K95" s="82" t="n">
        <x:v>95</x:v>
      </x:c>
      <x:c r="L95" s="82" t="n">
        <x:v>180</x:v>
      </x:c>
      <x:c r="M95" s="82" t="n">
        <x:v>85</x:v>
      </x:c>
      <x:c r="N95" s="82" t="n">
        <x:v>45</x:v>
      </x:c>
      <x:c r="O95" s="82" t="n">
        <x:v>70</x:v>
      </x:c>
      <x:c r="P95" s="82" t="str">
        <x:v>Sim</x:v>
      </x:c>
      <x:c r="Q95" s="82" t="str">
        <x:v>Não</x:v>
      </x:c>
      <x:c r="R95" s="82" t="str">
        <x:v>Rankeado</x:v>
      </x:c>
      <x:c r="S95" s="82" t="str">
        <x:v>https://poke.idleworld.online/pokepedia/pokemon/cloyster</x:v>
      </x:c>
      <x:c r="T95" s="143" t="n">
        <x:f>MAX(K95,M95)*Metodologia!$B$16</x:f>
        <x:v>123.5</x:v>
      </x:c>
      <x:c r="U95" s="143" t="n">
        <x:f>MIN(K95,M95)*Metodologia!$B$16</x:f>
        <x:v>110.5</x:v>
      </x:c>
      <x:c r="V95" s="144" t="n">
        <x:f>SQRT(J95*AVERAGE(L95,N95)*Metodologia!$B$16)</x:f>
        <x:v>85.51315688243535</x:v>
      </x:c>
    </x:row>
    <x:row r="96" ht="22" customHeight="1">
      <x:c r="A96" s="82" t="n">
        <x:v>92</x:v>
      </x:c>
      <x:c r="B96" s="82" t="str">
        <x:v>Gastly</x:v>
      </x:c>
      <x:c r="C96" s="82" t="str">
        <x:v>Fantasma / Veneno</x:v>
      </x:c>
      <x:c r="D96" s="82" t="str">
        <x:v>Malefic</x:v>
      </x:c>
      <x:c r="E96" s="82" t="n">
        <x:v>1</x:v>
      </x:c>
      <x:c r="F96" s="82" t="str">
        <x:f>IF(G96&gt;=80,"S+",IF(G96&gt;=72,"S",IF(G96&gt;=65,"A",IF(G96&gt;=58,"B",IF(G96&gt;=50,"C",IF(G96&gt;=42,"D","E"))))))</x:f>
        <x:v>C</x:v>
      </x:c>
      <x:c r="G96" s="142" t="n">
        <x:f>ROUND(100*(Metodologia!$B$17*(T96/Metodologia!$B$22)+Metodologia!$B$18*(U96/Metodologia!$B$23)+Metodologia!$B$19*(V96/Metodologia!$B$24)+Metodologia!$B$20*(O96/Metodologia!$B$25)+Metodologia!$B$21*(I96/Metodologia!$B$26)),2)</x:f>
        <x:v>53.2</x:v>
      </x:c>
      <x:c r="H96" s="82" t="n">
        <x:f>IF(R96&lt;&gt;"Rankeado","",COUNTIFS($R$5:$R$255,"Rankeado",$G$5:$G$255,"&gt;"&amp;G96)+COUNTIFS($R$5:R96,"Rankeado",$G$5:G96,G96))</x:f>
        <x:v>113</x:v>
      </x:c>
      <x:c r="I96" s="82" t="n">
        <x:f>SUM(J96:O96)</x:f>
        <x:v>310</x:v>
      </x:c>
      <x:c r="J96" s="82" t="n">
        <x:v>30</x:v>
      </x:c>
      <x:c r="K96" s="82" t="n">
        <x:v>35</x:v>
      </x:c>
      <x:c r="L96" s="82" t="n">
        <x:v>30</x:v>
      </x:c>
      <x:c r="M96" s="82" t="n">
        <x:v>100</x:v>
      </x:c>
      <x:c r="N96" s="82" t="n">
        <x:v>35</x:v>
      </x:c>
      <x:c r="O96" s="82" t="n">
        <x:v>80</x:v>
      </x:c>
      <x:c r="P96" s="82" t="str">
        <x:v>Sim</x:v>
      </x:c>
      <x:c r="Q96" s="82" t="str">
        <x:v>Não</x:v>
      </x:c>
      <x:c r="R96" s="82" t="str">
        <x:v>Rankeado</x:v>
      </x:c>
      <x:c r="S96" s="82" t="str">
        <x:v>https://poke.idleworld.online/pokepedia/pokemon/gastly</x:v>
      </x:c>
      <x:c r="T96" s="143" t="n">
        <x:f>MAX(K96,M96)*Metodologia!$B$16</x:f>
        <x:v>130</x:v>
      </x:c>
      <x:c r="U96" s="143" t="n">
        <x:f>MIN(K96,M96)*Metodologia!$B$16</x:f>
        <x:v>45.5</x:v>
      </x:c>
      <x:c r="V96" s="144" t="n">
        <x:f>SQRT(J96*AVERAGE(L96,N96)*Metodologia!$B$16)</x:f>
        <x:v>35.601966237835796</x:v>
      </x:c>
    </x:row>
    <x:row r="97" ht="22" customHeight="1">
      <x:c r="A97" s="82" t="n">
        <x:v>93</x:v>
      </x:c>
      <x:c r="B97" s="82" t="str">
        <x:v>Haunter</x:v>
      </x:c>
      <x:c r="C97" s="82" t="str">
        <x:v>Fantasma / Veneno</x:v>
      </x:c>
      <x:c r="D97" s="82" t="str">
        <x:v>Malefic</x:v>
      </x:c>
      <x:c r="E97" s="82" t="n">
        <x:v>1</x:v>
      </x:c>
      <x:c r="F97" s="82" t="str">
        <x:f>IF(G97&gt;=80,"S+",IF(G97&gt;=72,"S",IF(G97&gt;=65,"A",IF(G97&gt;=58,"B",IF(G97&gt;=50,"C",IF(G97&gt;=42,"D","E"))))))</x:f>
        <x:v>B</x:v>
      </x:c>
      <x:c r="G97" s="142" t="n">
        <x:f>ROUND(100*(Metodologia!$B$17*(T97/Metodologia!$B$22)+Metodologia!$B$18*(U97/Metodologia!$B$23)+Metodologia!$B$19*(V97/Metodologia!$B$24)+Metodologia!$B$20*(O97/Metodologia!$B$25)+Metodologia!$B$21*(I97/Metodologia!$B$26)),2)</x:f>
        <x:v>63.89</x:v>
      </x:c>
      <x:c r="H97" s="82" t="n">
        <x:f>IF(R97&lt;&gt;"Rankeado","",COUNTIFS($R$5:$R$255,"Rankeado",$G$5:$G$255,"&gt;"&amp;G97)+COUNTIFS($R$5:R97,"Rankeado",$G$5:G97,G97))</x:f>
        <x:v>48</x:v>
      </x:c>
      <x:c r="I97" s="82" t="n">
        <x:f>SUM(J97:O97)</x:f>
        <x:v>405</x:v>
      </x:c>
      <x:c r="J97" s="82" t="n">
        <x:v>45</x:v>
      </x:c>
      <x:c r="K97" s="82" t="n">
        <x:v>50</x:v>
      </x:c>
      <x:c r="L97" s="82" t="n">
        <x:v>45</x:v>
      </x:c>
      <x:c r="M97" s="82" t="n">
        <x:v>115</x:v>
      </x:c>
      <x:c r="N97" s="82" t="n">
        <x:v>55</x:v>
      </x:c>
      <x:c r="O97" s="82" t="n">
        <x:v>95</x:v>
      </x:c>
      <x:c r="P97" s="82" t="str">
        <x:v>Sim</x:v>
      </x:c>
      <x:c r="Q97" s="82" t="str">
        <x:v>Não</x:v>
      </x:c>
      <x:c r="R97" s="82" t="str">
        <x:v>Rankeado</x:v>
      </x:c>
      <x:c r="S97" s="82" t="str">
        <x:v>https://poke.idleworld.online/pokepedia/pokemon/haunter</x:v>
      </x:c>
      <x:c r="T97" s="143" t="n">
        <x:f>MAX(K97,M97)*Metodologia!$B$16</x:f>
        <x:v>149.5</x:v>
      </x:c>
      <x:c r="U97" s="143" t="n">
        <x:f>MIN(K97,M97)*Metodologia!$B$16</x:f>
        <x:v>65</x:v>
      </x:c>
      <x:c r="V97" s="144" t="n">
        <x:f>SQRT(J97*AVERAGE(L97,N97)*Metodologia!$B$16)</x:f>
        <x:v>54.08326913195984</x:v>
      </x:c>
    </x:row>
    <x:row r="98" ht="22" customHeight="1">
      <x:c r="A98" s="82" t="n">
        <x:v>94</x:v>
      </x:c>
      <x:c r="B98" s="82" t="str">
        <x:v>Gengar</x:v>
      </x:c>
      <x:c r="C98" s="82" t="str">
        <x:v>Fantasma / Veneno</x:v>
      </x:c>
      <x:c r="D98" s="82" t="str">
        <x:v>Malefic</x:v>
      </x:c>
      <x:c r="E98" s="82" t="n">
        <x:v>1</x:v>
      </x:c>
      <x:c r="F98" s="82" t="str">
        <x:f>IF(G98&gt;=80,"S+",IF(G98&gt;=72,"S",IF(G98&gt;=65,"A",IF(G98&gt;=58,"B",IF(G98&gt;=50,"C",IF(G98&gt;=42,"D","E"))))))</x:f>
        <x:v>S</x:v>
      </x:c>
      <x:c r="G98" s="142" t="n">
        <x:f>ROUND(100*(Metodologia!$B$17*(T98/Metodologia!$B$22)+Metodologia!$B$18*(U98/Metodologia!$B$23)+Metodologia!$B$19*(V98/Metodologia!$B$24)+Metodologia!$B$20*(O98/Metodologia!$B$25)+Metodologia!$B$21*(I98/Metodologia!$B$26)),2)</x:f>
        <x:v>74.59</x:v>
      </x:c>
      <x:c r="H98" s="82" t="n">
        <x:f>IF(R98&lt;&gt;"Rankeado","",COUNTIFS($R$5:$R$255,"Rankeado",$G$5:$G$255,"&gt;"&amp;G98)+COUNTIFS($R$5:R98,"Rankeado",$G$5:G98,G98))</x:f>
        <x:v>6</x:v>
      </x:c>
      <x:c r="I98" s="82" t="n">
        <x:f>SUM(J98:O98)</x:f>
        <x:v>500</x:v>
      </x:c>
      <x:c r="J98" s="82" t="n">
        <x:v>60</x:v>
      </x:c>
      <x:c r="K98" s="82" t="n">
        <x:v>65</x:v>
      </x:c>
      <x:c r="L98" s="82" t="n">
        <x:v>60</x:v>
      </x:c>
      <x:c r="M98" s="82" t="n">
        <x:v>130</x:v>
      </x:c>
      <x:c r="N98" s="82" t="n">
        <x:v>75</x:v>
      </x:c>
      <x:c r="O98" s="82" t="n">
        <x:v>110</x:v>
      </x:c>
      <x:c r="P98" s="82" t="str">
        <x:v>Sim</x:v>
      </x:c>
      <x:c r="Q98" s="82" t="str">
        <x:v>Não</x:v>
      </x:c>
      <x:c r="R98" s="82" t="str">
        <x:v>Rankeado</x:v>
      </x:c>
      <x:c r="S98" s="82" t="str">
        <x:v>https://poke.idleworld.online/pokepedia/pokemon/gengar</x:v>
      </x:c>
      <x:c r="T98" s="143" t="n">
        <x:f>MAX(K98,M98)*Metodologia!$B$16</x:f>
        <x:v>169</x:v>
      </x:c>
      <x:c r="U98" s="143" t="n">
        <x:f>MIN(K98,M98)*Metodologia!$B$16</x:f>
        <x:v>84.5</x:v>
      </x:c>
      <x:c r="V98" s="144" t="n">
        <x:f>SQRT(J98*AVERAGE(L98,N98)*Metodologia!$B$16)</x:f>
        <x:v>72.56031973468694</x:v>
      </x:c>
    </x:row>
    <x:row r="99" ht="22" customHeight="1">
      <x:c r="A99" s="82" t="n">
        <x:v>95</x:v>
      </x:c>
      <x:c r="B99" s="82" t="str">
        <x:v>Onix</x:v>
      </x:c>
      <x:c r="C99" s="82" t="str">
        <x:v>Pedra / Terra</x:v>
      </x:c>
      <x:c r="D99" s="82" t="str">
        <x:v>Orebound</x:v>
      </x:c>
      <x:c r="E99" s="82" t="n">
        <x:v>1</x:v>
      </x:c>
      <x:c r="F99" s="82" t="str">
        <x:f>IF(G99&gt;=80,"S+",IF(G99&gt;=72,"S",IF(G99&gt;=65,"A",IF(G99&gt;=58,"B",IF(G99&gt;=50,"C",IF(G99&gt;=42,"D","E"))))))</x:f>
        <x:v>E</x:v>
      </x:c>
      <x:c r="G99" s="142" t="n">
        <x:f>ROUND(100*(Metodologia!$B$17*(T99/Metodologia!$B$22)+Metodologia!$B$18*(U99/Metodologia!$B$23)+Metodologia!$B$19*(V99/Metodologia!$B$24)+Metodologia!$B$20*(O99/Metodologia!$B$25)+Metodologia!$B$21*(I99/Metodologia!$B$26)),2)</x:f>
        <x:v>34.36</x:v>
      </x:c>
      <x:c r="H99" s="82" t="n">
        <x:f>IF(R99&lt;&gt;"Rankeado","",COUNTIFS($R$5:$R$255,"Rankeado",$G$5:$G$255,"&gt;"&amp;G99)+COUNTIFS($R$5:R99,"Rankeado",$G$5:G99,G99))</x:f>
        <x:v>210</x:v>
      </x:c>
      <x:c r="I99" s="82" t="n">
        <x:f>SUM(J99:O99)</x:f>
        <x:v>385</x:v>
      </x:c>
      <x:c r="J99" s="82" t="n">
        <x:v>35</x:v>
      </x:c>
      <x:c r="K99" s="82" t="n">
        <x:v>45</x:v>
      </x:c>
      <x:c r="L99" s="82" t="n">
        <x:v>160</x:v>
      </x:c>
      <x:c r="M99" s="82" t="n">
        <x:v>30</x:v>
      </x:c>
      <x:c r="N99" s="82" t="n">
        <x:v>45</x:v>
      </x:c>
      <x:c r="O99" s="82" t="n">
        <x:v>70</x:v>
      </x:c>
      <x:c r="P99" s="82" t="str">
        <x:v>Sim</x:v>
      </x:c>
      <x:c r="Q99" s="82" t="str">
        <x:v>Não</x:v>
      </x:c>
      <x:c r="R99" s="82" t="str">
        <x:v>Rankeado</x:v>
      </x:c>
      <x:c r="S99" s="82" t="str">
        <x:v>https://poke.idleworld.online/pokepedia/pokemon/onix</x:v>
      </x:c>
      <x:c r="T99" s="143" t="n">
        <x:f>MAX(K99,M99)*Metodologia!$B$16</x:f>
        <x:v>58.5</x:v>
      </x:c>
      <x:c r="U99" s="143" t="n">
        <x:f>MIN(K99,M99)*Metodologia!$B$16</x:f>
        <x:v>39</x:v>
      </x:c>
      <x:c r="V99" s="144" t="n">
        <x:f>SQRT(J99*AVERAGE(L99,N99)*Metodologia!$B$16)</x:f>
        <x:v>68.29165395566284</x:v>
      </x:c>
    </x:row>
    <x:row r="100" ht="22" customHeight="1">
      <x:c r="A100" s="82" t="n">
        <x:v>96</x:v>
      </x:c>
      <x:c r="B100" s="82" t="str">
        <x:v>Drowzee</x:v>
      </x:c>
      <x:c r="C100" s="82" t="str">
        <x:v>Psíquico</x:v>
      </x:c>
      <x:c r="D100" s="82" t="str">
        <x:v>Psycraft</x:v>
      </x:c>
      <x:c r="E100" s="82" t="n">
        <x:v>1</x:v>
      </x:c>
      <x:c r="F100" s="82" t="str">
        <x:f>IF(G100&gt;=80,"S+",IF(G100&gt;=72,"S",IF(G100&gt;=65,"A",IF(G100&gt;=58,"B",IF(G100&gt;=50,"C",IF(G100&gt;=42,"D","E"))))))</x:f>
        <x:v>E</x:v>
      </x:c>
      <x:c r="G100" s="142" t="n">
        <x:f>ROUND(100*(Metodologia!$B$17*(T100/Metodologia!$B$22)+Metodologia!$B$18*(U100/Metodologia!$B$23)+Metodologia!$B$19*(V100/Metodologia!$B$24)+Metodologia!$B$20*(O100/Metodologia!$B$25)+Metodologia!$B$21*(I100/Metodologia!$B$26)),2)</x:f>
        <x:v>34.84</x:v>
      </x:c>
      <x:c r="H100" s="82" t="n">
        <x:f>IF(R100&lt;&gt;"Rankeado","",COUNTIFS($R$5:$R$255,"Rankeado",$G$5:$G$255,"&gt;"&amp;G100)+COUNTIFS($R$5:R100,"Rankeado",$G$5:G100,G100))</x:f>
        <x:v>207</x:v>
      </x:c>
      <x:c r="I100" s="82" t="n">
        <x:f>SUM(J100:O100)</x:f>
        <x:v>328</x:v>
      </x:c>
      <x:c r="J100" s="82" t="n">
        <x:v>60</x:v>
      </x:c>
      <x:c r="K100" s="82" t="n">
        <x:v>48</x:v>
      </x:c>
      <x:c r="L100" s="82" t="n">
        <x:v>45</x:v>
      </x:c>
      <x:c r="M100" s="82" t="n">
        <x:v>43</x:v>
      </x:c>
      <x:c r="N100" s="82" t="n">
        <x:v>90</x:v>
      </x:c>
      <x:c r="O100" s="82" t="n">
        <x:v>42</x:v>
      </x:c>
      <x:c r="P100" s="82" t="str">
        <x:v>Sim</x:v>
      </x:c>
      <x:c r="Q100" s="82" t="str">
        <x:v>Não</x:v>
      </x:c>
      <x:c r="R100" s="82" t="str">
        <x:v>Rankeado</x:v>
      </x:c>
      <x:c r="S100" s="82" t="str">
        <x:v>https://poke.idleworld.online/pokepedia/pokemon/drowzee</x:v>
      </x:c>
      <x:c r="T100" s="143" t="n">
        <x:f>MAX(K100,M100)*Metodologia!$B$16</x:f>
        <x:v>62.400000000000006</x:v>
      </x:c>
      <x:c r="U100" s="143" t="n">
        <x:f>MIN(K100,M100)*Metodologia!$B$16</x:f>
        <x:v>55.9</x:v>
      </x:c>
      <x:c r="V100" s="144" t="n">
        <x:f>SQRT(J100*AVERAGE(L100,N100)*Metodologia!$B$16)</x:f>
        <x:v>72.56031973468694</x:v>
      </x:c>
    </x:row>
    <x:row r="101" ht="22" customHeight="1">
      <x:c r="A101" s="82" t="n">
        <x:v>97</x:v>
      </x:c>
      <x:c r="B101" s="82" t="str">
        <x:v>Hypno</x:v>
      </x:c>
      <x:c r="C101" s="82" t="str">
        <x:v>Psíquico</x:v>
      </x:c>
      <x:c r="D101" s="82" t="str">
        <x:v>Psycraft</x:v>
      </x:c>
      <x:c r="E101" s="82" t="n">
        <x:v>1</x:v>
      </x:c>
      <x:c r="F101" s="82" t="str">
        <x:f>IF(G101&gt;=80,"S+",IF(G101&gt;=72,"S",IF(G101&gt;=65,"A",IF(G101&gt;=58,"B",IF(G101&gt;=50,"C",IF(G101&gt;=42,"D","E"))))))</x:f>
        <x:v>C</x:v>
      </x:c>
      <x:c r="G101" s="142" t="n">
        <x:f>ROUND(100*(Metodologia!$B$17*(T101/Metodologia!$B$22)+Metodologia!$B$18*(U101/Metodologia!$B$23)+Metodologia!$B$19*(V101/Metodologia!$B$24)+Metodologia!$B$20*(O101/Metodologia!$B$25)+Metodologia!$B$21*(I101/Metodologia!$B$26)),2)</x:f>
        <x:v>52.88</x:v>
      </x:c>
      <x:c r="H101" s="82" t="n">
        <x:f>IF(R101&lt;&gt;"Rankeado","",COUNTIFS($R$5:$R$255,"Rankeado",$G$5:$G$255,"&gt;"&amp;G101)+COUNTIFS($R$5:R101,"Rankeado",$G$5:G101,G101))</x:f>
        <x:v>115</x:v>
      </x:c>
      <x:c r="I101" s="82" t="n">
        <x:f>SUM(J101:O101)</x:f>
        <x:v>483</x:v>
      </x:c>
      <x:c r="J101" s="82" t="n">
        <x:v>85</x:v>
      </x:c>
      <x:c r="K101" s="82" t="n">
        <x:v>73</x:v>
      </x:c>
      <x:c r="L101" s="82" t="n">
        <x:v>70</x:v>
      </x:c>
      <x:c r="M101" s="82" t="n">
        <x:v>73</x:v>
      </x:c>
      <x:c r="N101" s="82" t="n">
        <x:v>115</x:v>
      </x:c>
      <x:c r="O101" s="82" t="n">
        <x:v>67</x:v>
      </x:c>
      <x:c r="P101" s="82" t="str">
        <x:v>Sim</x:v>
      </x:c>
      <x:c r="Q101" s="82" t="str">
        <x:v>Não</x:v>
      </x:c>
      <x:c r="R101" s="82" t="str">
        <x:v>Rankeado</x:v>
      </x:c>
      <x:c r="S101" s="82" t="str">
        <x:v>https://poke.idleworld.online/pokepedia/pokemon/hypno</x:v>
      </x:c>
      <x:c r="T101" s="143" t="n">
        <x:f>MAX(K101,M101)*Metodologia!$B$16</x:f>
        <x:v>94.9</x:v>
      </x:c>
      <x:c r="U101" s="143" t="n">
        <x:f>MIN(K101,M101)*Metodologia!$B$16</x:f>
        <x:v>94.9</x:v>
      </x:c>
      <x:c r="V101" s="144" t="n">
        <x:f>SQRT(J101*AVERAGE(L101,N101)*Metodologia!$B$16)</x:f>
        <x:v>101.10019782374316</x:v>
      </x:c>
    </x:row>
    <x:row r="102" ht="22" customHeight="1">
      <x:c r="A102" s="82" t="n">
        <x:v>98</x:v>
      </x:c>
      <x:c r="B102" s="82" t="str">
        <x:v>Krabby</x:v>
      </x:c>
      <x:c r="C102" s="82" t="str">
        <x:v>Água</x:v>
      </x:c>
      <x:c r="D102" s="82" t="str">
        <x:v>Seavell</x:v>
      </x:c>
      <x:c r="E102" s="82" t="n">
        <x:v>1</x:v>
      </x:c>
      <x:c r="F102" s="82" t="str">
        <x:f>IF(G102&gt;=80,"S+",IF(G102&gt;=72,"S",IF(G102&gt;=65,"A",IF(G102&gt;=58,"B",IF(G102&gt;=50,"C",IF(G102&gt;=42,"D","E"))))))</x:f>
        <x:v>C</x:v>
      </x:c>
      <x:c r="G102" s="142" t="n">
        <x:f>ROUND(100*(Metodologia!$B$17*(T102/Metodologia!$B$22)+Metodologia!$B$18*(U102/Metodologia!$B$23)+Metodologia!$B$19*(V102/Metodologia!$B$24)+Metodologia!$B$20*(O102/Metodologia!$B$25)+Metodologia!$B$21*(I102/Metodologia!$B$26)),2)</x:f>
        <x:v>53.49</x:v>
      </x:c>
      <x:c r="H102" s="82" t="n">
        <x:f>IF(R102&lt;&gt;"Rankeado","",COUNTIFS($R$5:$R$255,"Rankeado",$G$5:$G$255,"&gt;"&amp;G102)+COUNTIFS($R$5:R102,"Rankeado",$G$5:G102,G102))</x:f>
        <x:v>110</x:v>
      </x:c>
      <x:c r="I102" s="82" t="n">
        <x:f>SUM(J102:O102)</x:f>
        <x:v>325</x:v>
      </x:c>
      <x:c r="J102" s="82" t="n">
        <x:v>30</x:v>
      </x:c>
      <x:c r="K102" s="82" t="n">
        <x:v>105</x:v>
      </x:c>
      <x:c r="L102" s="82" t="n">
        <x:v>90</x:v>
      </x:c>
      <x:c r="M102" s="82" t="n">
        <x:v>25</x:v>
      </x:c>
      <x:c r="N102" s="82" t="n">
        <x:v>25</x:v>
      </x:c>
      <x:c r="O102" s="82" t="n">
        <x:v>50</x:v>
      </x:c>
      <x:c r="P102" s="82" t="str">
        <x:v>Sim</x:v>
      </x:c>
      <x:c r="Q102" s="82" t="str">
        <x:v>Não</x:v>
      </x:c>
      <x:c r="R102" s="82" t="str">
        <x:v>Rankeado</x:v>
      </x:c>
      <x:c r="S102" s="82" t="str">
        <x:v>https://poke.idleworld.online/pokepedia/pokemon/krabby</x:v>
      </x:c>
      <x:c r="T102" s="143" t="n">
        <x:f>MAX(K102,M102)*Metodologia!$B$16</x:f>
        <x:v>136.5</x:v>
      </x:c>
      <x:c r="U102" s="143" t="n">
        <x:f>MIN(K102,M102)*Metodologia!$B$16</x:f>
        <x:v>32.5</x:v>
      </x:c>
      <x:c r="V102" s="144" t="n">
        <x:f>SQRT(J102*AVERAGE(L102,N102)*Metodologia!$B$16)</x:f>
        <x:v>47.3550419702063</x:v>
      </x:c>
    </x:row>
    <x:row r="103" ht="22" customHeight="1">
      <x:c r="A103" s="82" t="n">
        <x:v>99</x:v>
      </x:c>
      <x:c r="B103" s="82" t="str">
        <x:v>Kingler</x:v>
      </x:c>
      <x:c r="C103" s="82" t="str">
        <x:v>Água</x:v>
      </x:c>
      <x:c r="D103" s="82" t="str">
        <x:v>Seavell</x:v>
      </x:c>
      <x:c r="E103" s="82" t="n">
        <x:v>1</x:v>
      </x:c>
      <x:c r="F103" s="82" t="str">
        <x:f>IF(G103&gt;=80,"S+",IF(G103&gt;=72,"S",IF(G103&gt;=65,"A",IF(G103&gt;=58,"B",IF(G103&gt;=50,"C",IF(G103&gt;=42,"D","E"))))))</x:f>
        <x:v>A</x:v>
      </x:c>
      <x:c r="G103" s="142" t="n">
        <x:f>ROUND(100*(Metodologia!$B$17*(T103/Metodologia!$B$22)+Metodologia!$B$18*(U103/Metodologia!$B$23)+Metodologia!$B$19*(V103/Metodologia!$B$24)+Metodologia!$B$20*(O103/Metodologia!$B$25)+Metodologia!$B$21*(I103/Metodologia!$B$26)),2)</x:f>
        <x:v>71.12</x:v>
      </x:c>
      <x:c r="H103" s="82" t="n">
        <x:f>IF(R103&lt;&gt;"Rankeado","",COUNTIFS($R$5:$R$255,"Rankeado",$G$5:$G$255,"&gt;"&amp;G103)+COUNTIFS($R$5:R103,"Rankeado",$G$5:G103,G103))</x:f>
        <x:v>15</x:v>
      </x:c>
      <x:c r="I103" s="82" t="n">
        <x:f>SUM(J103:O103)</x:f>
        <x:v>475</x:v>
      </x:c>
      <x:c r="J103" s="82" t="n">
        <x:v>55</x:v>
      </x:c>
      <x:c r="K103" s="82" t="n">
        <x:v>130</x:v>
      </x:c>
      <x:c r="L103" s="82" t="n">
        <x:v>115</x:v>
      </x:c>
      <x:c r="M103" s="82" t="n">
        <x:v>50</x:v>
      </x:c>
      <x:c r="N103" s="82" t="n">
        <x:v>50</x:v>
      </x:c>
      <x:c r="O103" s="82" t="n">
        <x:v>75</x:v>
      </x:c>
      <x:c r="P103" s="82" t="str">
        <x:v>Sim</x:v>
      </x:c>
      <x:c r="Q103" s="82" t="str">
        <x:v>Não</x:v>
      </x:c>
      <x:c r="R103" s="82" t="str">
        <x:v>Rankeado</x:v>
      </x:c>
      <x:c r="S103" s="82" t="str">
        <x:v>https://poke.idleworld.online/pokepedia/pokemon/kingler</x:v>
      </x:c>
      <x:c r="T103" s="143" t="n">
        <x:f>MAX(K103,M103)*Metodologia!$B$16</x:f>
        <x:v>169</x:v>
      </x:c>
      <x:c r="U103" s="143" t="n">
        <x:f>MIN(K103,M103)*Metodologia!$B$16</x:f>
        <x:v>65</x:v>
      </x:c>
      <x:c r="V103" s="144" t="n">
        <x:f>SQRT(J103*AVERAGE(L103,N103)*Metodologia!$B$16)</x:f>
        <x:v>76.80332024072918</x:v>
      </x:c>
    </x:row>
    <x:row r="104" ht="22" customHeight="1">
      <x:c r="A104" s="82" t="n">
        <x:v>100</x:v>
      </x:c>
      <x:c r="B104" s="82" t="str">
        <x:v>Voltorb</x:v>
      </x:c>
      <x:c r="C104" s="82" t="str">
        <x:v>Elétrico</x:v>
      </x:c>
      <x:c r="D104" s="82" t="str">
        <x:v>Raibolt</x:v>
      </x:c>
      <x:c r="E104" s="82" t="n">
        <x:v>1</x:v>
      </x:c>
      <x:c r="F104" s="82" t="str">
        <x:f>IF(G104&gt;=80,"S+",IF(G104&gt;=72,"S",IF(G104&gt;=65,"A",IF(G104&gt;=58,"B",IF(G104&gt;=50,"C",IF(G104&gt;=42,"D","E"))))))</x:f>
        <x:v>E</x:v>
      </x:c>
      <x:c r="G104" s="142" t="n">
        <x:f>ROUND(100*(Metodologia!$B$17*(T104/Metodologia!$B$22)+Metodologia!$B$18*(U104/Metodologia!$B$23)+Metodologia!$B$19*(V104/Metodologia!$B$24)+Metodologia!$B$20*(O104/Metodologia!$B$25)+Metodologia!$B$21*(I104/Metodologia!$B$26)),2)</x:f>
        <x:v>38.3</x:v>
      </x:c>
      <x:c r="H104" s="82" t="n">
        <x:f>IF(R104&lt;&gt;"Rankeado","",COUNTIFS($R$5:$R$255,"Rankeado",$G$5:$G$255,"&gt;"&amp;G104)+COUNTIFS($R$5:R104,"Rankeado",$G$5:G104,G104))</x:f>
        <x:v>193</x:v>
      </x:c>
      <x:c r="I104" s="82" t="n">
        <x:f>SUM(J104:O104)</x:f>
        <x:v>330</x:v>
      </x:c>
      <x:c r="J104" s="82" t="n">
        <x:v>40</x:v>
      </x:c>
      <x:c r="K104" s="82" t="n">
        <x:v>30</x:v>
      </x:c>
      <x:c r="L104" s="82" t="n">
        <x:v>50</x:v>
      </x:c>
      <x:c r="M104" s="82" t="n">
        <x:v>55</x:v>
      </x:c>
      <x:c r="N104" s="82" t="n">
        <x:v>55</x:v>
      </x:c>
      <x:c r="O104" s="82" t="n">
        <x:v>100</x:v>
      </x:c>
      <x:c r="P104" s="82" t="str">
        <x:v>Sim</x:v>
      </x:c>
      <x:c r="Q104" s="82" t="str">
        <x:v>Não</x:v>
      </x:c>
      <x:c r="R104" s="82" t="str">
        <x:v>Rankeado</x:v>
      </x:c>
      <x:c r="S104" s="82" t="str">
        <x:v>https://poke.idleworld.online/pokepedia/pokemon/voltorb</x:v>
      </x:c>
      <x:c r="T104" s="143" t="n">
        <x:f>MAX(K104,M104)*Metodologia!$B$16</x:f>
        <x:v>71.5</x:v>
      </x:c>
      <x:c r="U104" s="143" t="n">
        <x:f>MIN(K104,M104)*Metodologia!$B$16</x:f>
        <x:v>39</x:v>
      </x:c>
      <x:c r="V104" s="144" t="n">
        <x:f>SQRT(J104*AVERAGE(L104,N104)*Metodologia!$B$16)</x:f>
        <x:v>52.24940191045253</x:v>
      </x:c>
    </x:row>
    <x:row r="105" ht="22" customHeight="1">
      <x:c r="A105" s="82" t="n">
        <x:v>101</x:v>
      </x:c>
      <x:c r="B105" s="82" t="str">
        <x:v>Electrode</x:v>
      </x:c>
      <x:c r="C105" s="82" t="str">
        <x:v>Elétrico</x:v>
      </x:c>
      <x:c r="D105" s="82" t="str">
        <x:v>Raibolt</x:v>
      </x:c>
      <x:c r="E105" s="82" t="n">
        <x:v>1</x:v>
      </x:c>
      <x:c r="F105" s="82" t="str">
        <x:f>IF(G105&gt;=80,"S+",IF(G105&gt;=72,"S",IF(G105&gt;=65,"A",IF(G105&gt;=58,"B",IF(G105&gt;=50,"C",IF(G105&gt;=42,"D","E"))))))</x:f>
        <x:v>C</x:v>
      </x:c>
      <x:c r="G105" s="142" t="n">
        <x:f>ROUND(100*(Metodologia!$B$17*(T105/Metodologia!$B$22)+Metodologia!$B$18*(U105/Metodologia!$B$23)+Metodologia!$B$19*(V105/Metodologia!$B$24)+Metodologia!$B$20*(O105/Metodologia!$B$25)+Metodologia!$B$21*(I105/Metodologia!$B$26)),2)</x:f>
        <x:v>56.72</x:v>
      </x:c>
      <x:c r="H105" s="82" t="n">
        <x:f>IF(R105&lt;&gt;"Rankeado","",COUNTIFS($R$5:$R$255,"Rankeado",$G$5:$G$255,"&gt;"&amp;G105)+COUNTIFS($R$5:R105,"Rankeado",$G$5:G105,G105))</x:f>
        <x:v>88</x:v>
      </x:c>
      <x:c r="I105" s="82" t="n">
        <x:f>SUM(J105:O105)</x:f>
        <x:v>490</x:v>
      </x:c>
      <x:c r="J105" s="82" t="n">
        <x:v>60</x:v>
      </x:c>
      <x:c r="K105" s="82" t="n">
        <x:v>50</x:v>
      </x:c>
      <x:c r="L105" s="82" t="n">
        <x:v>70</x:v>
      </x:c>
      <x:c r="M105" s="82" t="n">
        <x:v>80</x:v>
      </x:c>
      <x:c r="N105" s="82" t="n">
        <x:v>80</x:v>
      </x:c>
      <x:c r="O105" s="82" t="n">
        <x:v>150</x:v>
      </x:c>
      <x:c r="P105" s="82" t="str">
        <x:v>Sim</x:v>
      </x:c>
      <x:c r="Q105" s="82" t="str">
        <x:v>Não</x:v>
      </x:c>
      <x:c r="R105" s="82" t="str">
        <x:v>Rankeado</x:v>
      </x:c>
      <x:c r="S105" s="82" t="str">
        <x:v>https://poke.idleworld.online/pokepedia/pokemon/electrode</x:v>
      </x:c>
      <x:c r="T105" s="143" t="n">
        <x:f>MAX(K105,M105)*Metodologia!$B$16</x:f>
        <x:v>104</x:v>
      </x:c>
      <x:c r="U105" s="143" t="n">
        <x:f>MIN(K105,M105)*Metodologia!$B$16</x:f>
        <x:v>65</x:v>
      </x:c>
      <x:c r="V105" s="144" t="n">
        <x:f>SQRT(J105*AVERAGE(L105,N105)*Metodologia!$B$16)</x:f>
        <x:v>76.48529270389177</x:v>
      </x:c>
    </x:row>
    <x:row r="106" ht="22" customHeight="1">
      <x:c r="A106" s="82" t="n">
        <x:v>102</x:v>
      </x:c>
      <x:c r="B106" s="82" t="str">
        <x:v>Exeggcute</x:v>
      </x:c>
      <x:c r="C106" s="82" t="str">
        <x:v>Planta / Psíquico</x:v>
      </x:c>
      <x:c r="D106" s="82" t="str">
        <x:v>Naturia / Psycraft</x:v>
      </x:c>
      <x:c r="E106" s="82" t="n">
        <x:v>2</x:v>
      </x:c>
      <x:c r="F106" s="82" t="str">
        <x:f>IF(G106&gt;=80,"S+",IF(G106&gt;=72,"S",IF(G106&gt;=65,"A",IF(G106&gt;=58,"B",IF(G106&gt;=50,"C",IF(G106&gt;=42,"D","E"))))))</x:f>
        <x:v>E</x:v>
      </x:c>
      <x:c r="G106" s="142" t="n">
        <x:f>ROUND(100*(Metodologia!$B$17*(T106/Metodologia!$B$22)+Metodologia!$B$18*(U106/Metodologia!$B$23)+Metodologia!$B$19*(V106/Metodologia!$B$24)+Metodologia!$B$20*(O106/Metodologia!$B$25)+Metodologia!$B$21*(I106/Metodologia!$B$26)),2)</x:f>
        <x:v>38.83</x:v>
      </x:c>
      <x:c r="H106" s="82" t="n">
        <x:f>IF(R106&lt;&gt;"Rankeado","",COUNTIFS($R$5:$R$255,"Rankeado",$G$5:$G$255,"&gt;"&amp;G106)+COUNTIFS($R$5:R106,"Rankeado",$G$5:G106,G106))</x:f>
        <x:v>188</x:v>
      </x:c>
      <x:c r="I106" s="82" t="n">
        <x:f>SUM(J106:O106)</x:f>
        <x:v>325</x:v>
      </x:c>
      <x:c r="J106" s="82" t="n">
        <x:v>60</x:v>
      </x:c>
      <x:c r="K106" s="82" t="n">
        <x:v>40</x:v>
      </x:c>
      <x:c r="L106" s="82" t="n">
        <x:v>80</x:v>
      </x:c>
      <x:c r="M106" s="82" t="n">
        <x:v>60</x:v>
      </x:c>
      <x:c r="N106" s="82" t="n">
        <x:v>45</x:v>
      </x:c>
      <x:c r="O106" s="82" t="n">
        <x:v>40</x:v>
      </x:c>
      <x:c r="P106" s="82" t="str">
        <x:v>Sim</x:v>
      </x:c>
      <x:c r="Q106" s="82" t="str">
        <x:v>Não</x:v>
      </x:c>
      <x:c r="R106" s="82" t="str">
        <x:v>Rankeado</x:v>
      </x:c>
      <x:c r="S106" s="82" t="str">
        <x:v>https://poke.idleworld.online/pokepedia/pokemon/exeggcute</x:v>
      </x:c>
      <x:c r="T106" s="143" t="n">
        <x:f>MAX(K106,M106)*Metodologia!$B$16</x:f>
        <x:v>78</x:v>
      </x:c>
      <x:c r="U106" s="143" t="n">
        <x:f>MIN(K106,M106)*Metodologia!$B$16</x:f>
        <x:v>52</x:v>
      </x:c>
      <x:c r="V106" s="144" t="n">
        <x:f>SQRT(J106*AVERAGE(L106,N106)*Metodologia!$B$16)</x:f>
        <x:v>69.82120021884471</x:v>
      </x:c>
    </x:row>
    <x:row r="107" ht="22" customHeight="1">
      <x:c r="A107" s="82" t="n">
        <x:v>103</x:v>
      </x:c>
      <x:c r="B107" s="82" t="str">
        <x:v>Exeggutor</x:v>
      </x:c>
      <x:c r="C107" s="82" t="str">
        <x:v>Planta / Psíquico</x:v>
      </x:c>
      <x:c r="D107" s="82" t="str">
        <x:v>Naturia / Psycraft</x:v>
      </x:c>
      <x:c r="E107" s="82" t="n">
        <x:v>2</x:v>
      </x:c>
      <x:c r="F107" s="82" t="str">
        <x:f>IF(G107&gt;=80,"S+",IF(G107&gt;=72,"S",IF(G107&gt;=65,"A",IF(G107&gt;=58,"B",IF(G107&gt;=50,"C",IF(G107&gt;=42,"D","E"))))))</x:f>
        <x:v>S</x:v>
      </x:c>
      <x:c r="G107" s="142" t="n">
        <x:f>ROUND(100*(Metodologia!$B$17*(T107/Metodologia!$B$22)+Metodologia!$B$18*(U107/Metodologia!$B$23)+Metodologia!$B$19*(V107/Metodologia!$B$24)+Metodologia!$B$20*(O107/Metodologia!$B$25)+Metodologia!$B$21*(I107/Metodologia!$B$26)),2)</x:f>
        <x:v>74.52</x:v>
      </x:c>
      <x:c r="H107" s="82" t="n">
        <x:f>IF(R107&lt;&gt;"Rankeado","",COUNTIFS($R$5:$R$255,"Rankeado",$G$5:$G$255,"&gt;"&amp;G107)+COUNTIFS($R$5:R107,"Rankeado",$G$5:G107,G107))</x:f>
        <x:v>7</x:v>
      </x:c>
      <x:c r="I107" s="82" t="n">
        <x:f>SUM(J107:O107)</x:f>
        <x:v>530</x:v>
      </x:c>
      <x:c r="J107" s="82" t="n">
        <x:v>95</x:v>
      </x:c>
      <x:c r="K107" s="82" t="n">
        <x:v>95</x:v>
      </x:c>
      <x:c r="L107" s="82" t="n">
        <x:v>85</x:v>
      </x:c>
      <x:c r="M107" s="82" t="n">
        <x:v>125</x:v>
      </x:c>
      <x:c r="N107" s="82" t="n">
        <x:v>75</x:v>
      </x:c>
      <x:c r="O107" s="82" t="n">
        <x:v>55</x:v>
      </x:c>
      <x:c r="P107" s="82" t="str">
        <x:v>Sim</x:v>
      </x:c>
      <x:c r="Q107" s="82" t="str">
        <x:v>Não</x:v>
      </x:c>
      <x:c r="R107" s="82" t="str">
        <x:v>Rankeado</x:v>
      </x:c>
      <x:c r="S107" s="82" t="str">
        <x:v>https://poke.idleworld.online/pokepedia/pokemon/exeggutor</x:v>
      </x:c>
      <x:c r="T107" s="143" t="n">
        <x:f>MAX(K107,M107)*Metodologia!$B$16</x:f>
        <x:v>162.5</x:v>
      </x:c>
      <x:c r="U107" s="143" t="n">
        <x:f>MIN(K107,M107)*Metodologia!$B$16</x:f>
        <x:v>123.5</x:v>
      </x:c>
      <x:c r="V107" s="144" t="n">
        <x:f>SQRT(J107*AVERAGE(L107,N107)*Metodologia!$B$16)</x:f>
        <x:v>99.39818911831343</x:v>
      </x:c>
    </x:row>
    <x:row r="108" ht="22" customHeight="1">
      <x:c r="A108" s="82" t="n">
        <x:v>104</x:v>
      </x:c>
      <x:c r="B108" s="82" t="str">
        <x:v>Cubone</x:v>
      </x:c>
      <x:c r="C108" s="82" t="str">
        <x:v>Terra</x:v>
      </x:c>
      <x:c r="D108" s="82" t="str">
        <x:v>Orebound</x:v>
      </x:c>
      <x:c r="E108" s="82" t="n">
        <x:v>1</x:v>
      </x:c>
      <x:c r="F108" s="82" t="str">
        <x:f>IF(G108&gt;=80,"S+",IF(G108&gt;=72,"S",IF(G108&gt;=65,"A",IF(G108&gt;=58,"B",IF(G108&gt;=50,"C",IF(G108&gt;=42,"D","E"))))))</x:f>
        <x:v>E</x:v>
      </x:c>
      <x:c r="G108" s="142" t="n">
        <x:f>ROUND(100*(Metodologia!$B$17*(T108/Metodologia!$B$22)+Metodologia!$B$18*(U108/Metodologia!$B$23)+Metodologia!$B$19*(V108/Metodologia!$B$24)+Metodologia!$B$20*(O108/Metodologia!$B$25)+Metodologia!$B$21*(I108/Metodologia!$B$26)),2)</x:f>
        <x:v>34.45</x:v>
      </x:c>
      <x:c r="H108" s="82" t="n">
        <x:f>IF(R108&lt;&gt;"Rankeado","",COUNTIFS($R$5:$R$255,"Rankeado",$G$5:$G$255,"&gt;"&amp;G108)+COUNTIFS($R$5:R108,"Rankeado",$G$5:G108,G108))</x:f>
        <x:v>209</x:v>
      </x:c>
      <x:c r="I108" s="82" t="n">
        <x:f>SUM(J108:O108)</x:f>
        <x:v>320</x:v>
      </x:c>
      <x:c r="J108" s="82" t="n">
        <x:v>50</x:v>
      </x:c>
      <x:c r="K108" s="82" t="n">
        <x:v>50</x:v>
      </x:c>
      <x:c r="L108" s="82" t="n">
        <x:v>95</x:v>
      </x:c>
      <x:c r="M108" s="82" t="n">
        <x:v>40</x:v>
      </x:c>
      <x:c r="N108" s="82" t="n">
        <x:v>50</x:v>
      </x:c>
      <x:c r="O108" s="82" t="n">
        <x:v>35</x:v>
      </x:c>
      <x:c r="P108" s="82" t="str">
        <x:v>Sim</x:v>
      </x:c>
      <x:c r="Q108" s="82" t="str">
        <x:v>Não</x:v>
      </x:c>
      <x:c r="R108" s="82" t="str">
        <x:v>Rankeado</x:v>
      </x:c>
      <x:c r="S108" s="82" t="str">
        <x:v>https://poke.idleworld.online/pokepedia/pokemon/cubone</x:v>
      </x:c>
      <x:c r="T108" s="143" t="n">
        <x:f>MAX(K108,M108)*Metodologia!$B$16</x:f>
        <x:v>65</x:v>
      </x:c>
      <x:c r="U108" s="143" t="n">
        <x:f>MIN(K108,M108)*Metodologia!$B$16</x:f>
        <x:v>52</x:v>
      </x:c>
      <x:c r="V108" s="144" t="n">
        <x:f>SQRT(J108*AVERAGE(L108,N108)*Metodologia!$B$16)</x:f>
        <x:v>68.6476510887299</x:v>
      </x:c>
    </x:row>
    <x:row r="109" ht="22" customHeight="1">
      <x:c r="A109" s="82" t="n">
        <x:v>105</x:v>
      </x:c>
      <x:c r="B109" s="82" t="str">
        <x:v>Marowak</x:v>
      </x:c>
      <x:c r="C109" s="82" t="str">
        <x:v>Terra</x:v>
      </x:c>
      <x:c r="D109" s="82" t="str">
        <x:v>Orebound</x:v>
      </x:c>
      <x:c r="E109" s="82" t="n">
        <x:v>1</x:v>
      </x:c>
      <x:c r="F109" s="82" t="str">
        <x:f>IF(G109&gt;=80,"S+",IF(G109&gt;=72,"S",IF(G109&gt;=65,"A",IF(G109&gt;=58,"B",IF(G109&gt;=50,"C",IF(G109&gt;=42,"D","E"))))))</x:f>
        <x:v>C</x:v>
      </x:c>
      <x:c r="G109" s="142" t="n">
        <x:f>ROUND(100*(Metodologia!$B$17*(T109/Metodologia!$B$22)+Metodologia!$B$18*(U109/Metodologia!$B$23)+Metodologia!$B$19*(V109/Metodologia!$B$24)+Metodologia!$B$20*(O109/Metodologia!$B$25)+Metodologia!$B$21*(I109/Metodologia!$B$26)),2)</x:f>
        <x:v>50.17</x:v>
      </x:c>
      <x:c r="H109" s="82" t="n">
        <x:f>IF(R109&lt;&gt;"Rankeado","",COUNTIFS($R$5:$R$255,"Rankeado",$G$5:$G$255,"&gt;"&amp;G109)+COUNTIFS($R$5:R109,"Rankeado",$G$5:G109,G109))</x:f>
        <x:v>132</x:v>
      </x:c>
      <x:c r="I109" s="82" t="n">
        <x:f>SUM(J109:O109)</x:f>
        <x:v>425</x:v>
      </x:c>
      <x:c r="J109" s="82" t="n">
        <x:v>60</x:v>
      </x:c>
      <x:c r="K109" s="82" t="n">
        <x:v>80</x:v>
      </x:c>
      <x:c r="L109" s="82" t="n">
        <x:v>110</x:v>
      </x:c>
      <x:c r="M109" s="82" t="n">
        <x:v>50</x:v>
      </x:c>
      <x:c r="N109" s="82" t="n">
        <x:v>80</x:v>
      </x:c>
      <x:c r="O109" s="82" t="n">
        <x:v>45</x:v>
      </x:c>
      <x:c r="P109" s="82" t="str">
        <x:v>Sim</x:v>
      </x:c>
      <x:c r="Q109" s="82" t="str">
        <x:v>Não</x:v>
      </x:c>
      <x:c r="R109" s="82" t="str">
        <x:v>Rankeado</x:v>
      </x:c>
      <x:c r="S109" s="82" t="str">
        <x:v>https://poke.idleworld.online/pokepedia/pokemon/marowak</x:v>
      </x:c>
      <x:c r="T109" s="143" t="n">
        <x:f>MAX(K109,M109)*Metodologia!$B$16</x:f>
        <x:v>104</x:v>
      </x:c>
      <x:c r="U109" s="143" t="n">
        <x:f>MIN(K109,M109)*Metodologia!$B$16</x:f>
        <x:v>65</x:v>
      </x:c>
      <x:c r="V109" s="144" t="n">
        <x:f>SQRT(J109*AVERAGE(L109,N109)*Metodologia!$B$16)</x:f>
        <x:v>86.08135686662938</x:v>
      </x:c>
    </x:row>
    <x:row r="110" ht="22" customHeight="1">
      <x:c r="A110" s="82" t="n">
        <x:v>106</x:v>
      </x:c>
      <x:c r="B110" s="82" t="str">
        <x:v>Hitmonlee</x:v>
      </x:c>
      <x:c r="C110" s="82" t="str">
        <x:v>Lutador</x:v>
      </x:c>
      <x:c r="D110" s="82" t="str">
        <x:v>Gardestrike</x:v>
      </x:c>
      <x:c r="E110" s="82" t="n">
        <x:v>1</x:v>
      </x:c>
      <x:c r="F110" s="82" t="str">
        <x:f>IF(G110&gt;=80,"S+",IF(G110&gt;=72,"S",IF(G110&gt;=65,"A",IF(G110&gt;=58,"B",IF(G110&gt;=50,"C",IF(G110&gt;=42,"D","E"))))))</x:f>
        <x:v>A</x:v>
      </x:c>
      <x:c r="G110" s="142" t="n">
        <x:f>ROUND(100*(Metodologia!$B$17*(T110/Metodologia!$B$22)+Metodologia!$B$18*(U110/Metodologia!$B$23)+Metodologia!$B$19*(V110/Metodologia!$B$24)+Metodologia!$B$20*(O110/Metodologia!$B$25)+Metodologia!$B$21*(I110/Metodologia!$B$26)),2)</x:f>
        <x:v>66.12</x:v>
      </x:c>
      <x:c r="H110" s="82" t="n">
        <x:f>IF(R110&lt;&gt;"Rankeado","",COUNTIFS($R$5:$R$255,"Rankeado",$G$5:$G$255,"&gt;"&amp;G110)+COUNTIFS($R$5:R110,"Rankeado",$G$5:G110,G110))</x:f>
        <x:v>35</x:v>
      </x:c>
      <x:c r="I110" s="82" t="n">
        <x:f>SUM(J110:O110)</x:f>
        <x:v>455</x:v>
      </x:c>
      <x:c r="J110" s="82" t="n">
        <x:v>50</x:v>
      </x:c>
      <x:c r="K110" s="82" t="n">
        <x:v>120</x:v>
      </x:c>
      <x:c r="L110" s="82" t="n">
        <x:v>53</x:v>
      </x:c>
      <x:c r="M110" s="82" t="n">
        <x:v>35</x:v>
      </x:c>
      <x:c r="N110" s="82" t="n">
        <x:v>110</x:v>
      </x:c>
      <x:c r="O110" s="82" t="n">
        <x:v>87</x:v>
      </x:c>
      <x:c r="P110" s="82" t="str">
        <x:v>Sim</x:v>
      </x:c>
      <x:c r="Q110" s="82" t="str">
        <x:v>Não</x:v>
      </x:c>
      <x:c r="R110" s="82" t="str">
        <x:v>Rankeado</x:v>
      </x:c>
      <x:c r="S110" s="82" t="str">
        <x:v>https://poke.idleworld.online/pokepedia/pokemon/hitmonlee</x:v>
      </x:c>
      <x:c r="T110" s="143" t="n">
        <x:f>MAX(K110,M110)*Metodologia!$B$16</x:f>
        <x:v>156</x:v>
      </x:c>
      <x:c r="U110" s="143" t="n">
        <x:f>MIN(K110,M110)*Metodologia!$B$16</x:f>
        <x:v>45.5</x:v>
      </x:c>
      <x:c r="V110" s="144" t="n">
        <x:f>SQRT(J110*AVERAGE(L110,N110)*Metodologia!$B$16)</x:f>
        <x:v>72.78392679706145</x:v>
      </x:c>
    </x:row>
    <x:row r="111" ht="22" customHeight="1">
      <x:c r="A111" s="82" t="n">
        <x:v>107</x:v>
      </x:c>
      <x:c r="B111" s="82" t="str">
        <x:v>Hitmonchan</x:v>
      </x:c>
      <x:c r="C111" s="82" t="str">
        <x:v>Lutador</x:v>
      </x:c>
      <x:c r="D111" s="82" t="str">
        <x:v>Gardestrike</x:v>
      </x:c>
      <x:c r="E111" s="82" t="n">
        <x:v>1</x:v>
      </x:c>
      <x:c r="F111" s="82" t="str">
        <x:f>IF(G111&gt;=80,"S+",IF(G111&gt;=72,"S",IF(G111&gt;=65,"A",IF(G111&gt;=58,"B",IF(G111&gt;=50,"C",IF(G111&gt;=42,"D","E"))))))</x:f>
        <x:v>B</x:v>
      </x:c>
      <x:c r="G111" s="142" t="n">
        <x:f>ROUND(100*(Metodologia!$B$17*(T111/Metodologia!$B$22)+Metodologia!$B$18*(U111/Metodologia!$B$23)+Metodologia!$B$19*(V111/Metodologia!$B$24)+Metodologia!$B$20*(O111/Metodologia!$B$25)+Metodologia!$B$21*(I111/Metodologia!$B$26)),2)</x:f>
        <x:v>60.09</x:v>
      </x:c>
      <x:c r="H111" s="82" t="n">
        <x:f>IF(R111&lt;&gt;"Rankeado","",COUNTIFS($R$5:$R$255,"Rankeado",$G$5:$G$255,"&gt;"&amp;G111)+COUNTIFS($R$5:R111,"Rankeado",$G$5:G111,G111))</x:f>
        <x:v>67</x:v>
      </x:c>
      <x:c r="I111" s="82" t="n">
        <x:f>SUM(J111:O111)</x:f>
        <x:v>455</x:v>
      </x:c>
      <x:c r="J111" s="82" t="n">
        <x:v>50</x:v>
      </x:c>
      <x:c r="K111" s="82" t="n">
        <x:v>105</x:v>
      </x:c>
      <x:c r="L111" s="82" t="n">
        <x:v>79</x:v>
      </x:c>
      <x:c r="M111" s="82" t="n">
        <x:v>35</x:v>
      </x:c>
      <x:c r="N111" s="82" t="n">
        <x:v>110</x:v>
      </x:c>
      <x:c r="O111" s="82" t="n">
        <x:v>76</x:v>
      </x:c>
      <x:c r="P111" s="82" t="str">
        <x:v>Sim</x:v>
      </x:c>
      <x:c r="Q111" s="82" t="str">
        <x:v>Não</x:v>
      </x:c>
      <x:c r="R111" s="82" t="str">
        <x:v>Rankeado</x:v>
      </x:c>
      <x:c r="S111" s="82" t="str">
        <x:v>https://poke.idleworld.online/pokepedia/pokemon/hitmonchan</x:v>
      </x:c>
      <x:c r="T111" s="143" t="n">
        <x:f>MAX(K111,M111)*Metodologia!$B$16</x:f>
        <x:v>136.5</x:v>
      </x:c>
      <x:c r="U111" s="143" t="n">
        <x:f>MIN(K111,M111)*Metodologia!$B$16</x:f>
        <x:v>45.5</x:v>
      </x:c>
      <x:c r="V111" s="144" t="n">
        <x:f>SQRT(J111*AVERAGE(L111,N111)*Metodologia!$B$16)</x:f>
        <x:v>78.3741028656788</x:v>
      </x:c>
    </x:row>
    <x:row r="112" ht="22" customHeight="1">
      <x:c r="A112" s="82" t="n">
        <x:v>108</x:v>
      </x:c>
      <x:c r="B112" s="82" t="str">
        <x:v>Lickitung</x:v>
      </x:c>
      <x:c r="C112" s="82" t="str">
        <x:v>Normal</x:v>
      </x:c>
      <x:c r="D112" s="82" t="str">
        <x:v>Gardestrike</x:v>
      </x:c>
      <x:c r="E112" s="82" t="n">
        <x:v>1</x:v>
      </x:c>
      <x:c r="F112" s="82" t="str">
        <x:f>IF(G112&gt;=80,"S+",IF(G112&gt;=72,"S",IF(G112&gt;=65,"A",IF(G112&gt;=58,"B",IF(G112&gt;=50,"C",IF(G112&gt;=42,"D","E"))))))</x:f>
        <x:v>D</x:v>
      </x:c>
      <x:c r="G112" s="142" t="n">
        <x:f>ROUND(100*(Metodologia!$B$17*(T112/Metodologia!$B$22)+Metodologia!$B$18*(U112/Metodologia!$B$23)+Metodologia!$B$19*(V112/Metodologia!$B$24)+Metodologia!$B$20*(O112/Metodologia!$B$25)+Metodologia!$B$21*(I112/Metodologia!$B$26)),2)</x:f>
        <x:v>42.27</x:v>
      </x:c>
      <x:c r="H112" s="82" t="n">
        <x:f>IF(R112&lt;&gt;"Rankeado","",COUNTIFS($R$5:$R$255,"Rankeado",$G$5:$G$255,"&gt;"&amp;G112)+COUNTIFS($R$5:R112,"Rankeado",$G$5:G112,G112))</x:f>
        <x:v>168</x:v>
      </x:c>
      <x:c r="I112" s="82" t="n">
        <x:f>SUM(J112:O112)</x:f>
        <x:v>385</x:v>
      </x:c>
      <x:c r="J112" s="82" t="n">
        <x:v>90</x:v>
      </x:c>
      <x:c r="K112" s="82" t="n">
        <x:v>55</x:v>
      </x:c>
      <x:c r="L112" s="82" t="n">
        <x:v>75</x:v>
      </x:c>
      <x:c r="M112" s="82" t="n">
        <x:v>60</x:v>
      </x:c>
      <x:c r="N112" s="82" t="n">
        <x:v>75</x:v>
      </x:c>
      <x:c r="O112" s="82" t="n">
        <x:v>30</x:v>
      </x:c>
      <x:c r="P112" s="82" t="str">
        <x:v>Sim</x:v>
      </x:c>
      <x:c r="Q112" s="82" t="str">
        <x:v>Não</x:v>
      </x:c>
      <x:c r="R112" s="82" t="str">
        <x:v>Rankeado</x:v>
      </x:c>
      <x:c r="S112" s="82" t="str">
        <x:v>https://poke.idleworld.online/pokepedia/pokemon/lickitung</x:v>
      </x:c>
      <x:c r="T112" s="143" t="n">
        <x:f>MAX(K112,M112)*Metodologia!$B$16</x:f>
        <x:v>78</x:v>
      </x:c>
      <x:c r="U112" s="143" t="n">
        <x:f>MIN(K112,M112)*Metodologia!$B$16</x:f>
        <x:v>71.5</x:v>
      </x:c>
      <x:c r="V112" s="144" t="n">
        <x:f>SQRT(J112*AVERAGE(L112,N112)*Metodologia!$B$16)</x:f>
        <x:v>93.67496997597597</x:v>
      </x:c>
    </x:row>
    <x:row r="113" ht="22" customHeight="1">
      <x:c r="A113" s="82" t="n">
        <x:v>109</x:v>
      </x:c>
      <x:c r="B113" s="82" t="str">
        <x:v>Koffing</x:v>
      </x:c>
      <x:c r="C113" s="82" t="str">
        <x:v>Veneno</x:v>
      </x:c>
      <x:c r="D113" s="82" t="str">
        <x:v>Malefic</x:v>
      </x:c>
      <x:c r="E113" s="82" t="n">
        <x:v>1</x:v>
      </x:c>
      <x:c r="F113" s="82" t="str">
        <x:f>IF(G113&gt;=80,"S+",IF(G113&gt;=72,"S",IF(G113&gt;=65,"A",IF(G113&gt;=58,"B",IF(G113&gt;=50,"C",IF(G113&gt;=42,"D","E"))))))</x:f>
        <x:v>E</x:v>
      </x:c>
      <x:c r="G113" s="142" t="n">
        <x:f>ROUND(100*(Metodologia!$B$17*(T113/Metodologia!$B$22)+Metodologia!$B$18*(U113/Metodologia!$B$23)+Metodologia!$B$19*(V113/Metodologia!$B$24)+Metodologia!$B$20*(O113/Metodologia!$B$25)+Metodologia!$B$21*(I113/Metodologia!$B$26)),2)</x:f>
        <x:v>41.45</x:v>
      </x:c>
      <x:c r="H113" s="82" t="n">
        <x:f>IF(R113&lt;&gt;"Rankeado","",COUNTIFS($R$5:$R$255,"Rankeado",$G$5:$G$255,"&gt;"&amp;G113)+COUNTIFS($R$5:R113,"Rankeado",$G$5:G113,G113))</x:f>
        <x:v>173</x:v>
      </x:c>
      <x:c r="I113" s="82" t="n">
        <x:f>SUM(J113:O113)</x:f>
        <x:v>340</x:v>
      </x:c>
      <x:c r="J113" s="82" t="n">
        <x:v>40</x:v>
      </x:c>
      <x:c r="K113" s="82" t="n">
        <x:v>65</x:v>
      </x:c>
      <x:c r="L113" s="82" t="n">
        <x:v>95</x:v>
      </x:c>
      <x:c r="M113" s="82" t="n">
        <x:v>60</x:v>
      </x:c>
      <x:c r="N113" s="82" t="n">
        <x:v>45</x:v>
      </x:c>
      <x:c r="O113" s="82" t="n">
        <x:v>35</x:v>
      </x:c>
      <x:c r="P113" s="82" t="str">
        <x:v>Sim</x:v>
      </x:c>
      <x:c r="Q113" s="82" t="str">
        <x:v>Não</x:v>
      </x:c>
      <x:c r="R113" s="82" t="str">
        <x:v>Rankeado</x:v>
      </x:c>
      <x:c r="S113" s="82" t="str">
        <x:v>https://poke.idleworld.online/pokepedia/pokemon/koffing</x:v>
      </x:c>
      <x:c r="T113" s="143" t="n">
        <x:f>MAX(K113,M113)*Metodologia!$B$16</x:f>
        <x:v>84.5</x:v>
      </x:c>
      <x:c r="U113" s="143" t="n">
        <x:f>MIN(K113,M113)*Metodologia!$B$16</x:f>
        <x:v>78</x:v>
      </x:c>
      <x:c r="V113" s="144" t="n">
        <x:f>SQRT(J113*AVERAGE(L113,N113)*Metodologia!$B$16)</x:f>
        <x:v>60.332412515993425</x:v>
      </x:c>
    </x:row>
    <x:row r="114" ht="22" customHeight="1">
      <x:c r="A114" s="82" t="n">
        <x:v>110</x:v>
      </x:c>
      <x:c r="B114" s="82" t="str">
        <x:v>Weezing</x:v>
      </x:c>
      <x:c r="C114" s="82" t="str">
        <x:v>Veneno</x:v>
      </x:c>
      <x:c r="D114" s="82" t="str">
        <x:v>Malefic</x:v>
      </x:c>
      <x:c r="E114" s="82" t="n">
        <x:v>1</x:v>
      </x:c>
      <x:c r="F114" s="82" t="str">
        <x:f>IF(G114&gt;=80,"S+",IF(G114&gt;=72,"S",IF(G114&gt;=65,"A",IF(G114&gt;=58,"B",IF(G114&gt;=50,"C",IF(G114&gt;=42,"D","E"))))))</x:f>
        <x:v>B</x:v>
      </x:c>
      <x:c r="G114" s="142" t="n">
        <x:f>ROUND(100*(Metodologia!$B$17*(T114/Metodologia!$B$22)+Metodologia!$B$18*(U114/Metodologia!$B$23)+Metodologia!$B$19*(V114/Metodologia!$B$24)+Metodologia!$B$20*(O114/Metodologia!$B$25)+Metodologia!$B$21*(I114/Metodologia!$B$26)),2)</x:f>
        <x:v>59.06</x:v>
      </x:c>
      <x:c r="H114" s="82" t="n">
        <x:f>IF(R114&lt;&gt;"Rankeado","",COUNTIFS($R$5:$R$255,"Rankeado",$G$5:$G$255,"&gt;"&amp;G114)+COUNTIFS($R$5:R114,"Rankeado",$G$5:G114,G114))</x:f>
        <x:v>73</x:v>
      </x:c>
      <x:c r="I114" s="82" t="n">
        <x:f>SUM(J114:O114)</x:f>
        <x:v>490</x:v>
      </x:c>
      <x:c r="J114" s="82" t="n">
        <x:v>65</x:v>
      </x:c>
      <x:c r="K114" s="82" t="n">
        <x:v>90</x:v>
      </x:c>
      <x:c r="L114" s="82" t="n">
        <x:v>120</x:v>
      </x:c>
      <x:c r="M114" s="82" t="n">
        <x:v>85</x:v>
      </x:c>
      <x:c r="N114" s="82" t="n">
        <x:v>70</x:v>
      </x:c>
      <x:c r="O114" s="82" t="n">
        <x:v>60</x:v>
      </x:c>
      <x:c r="P114" s="82" t="str">
        <x:v>Sim</x:v>
      </x:c>
      <x:c r="Q114" s="82" t="str">
        <x:v>Não</x:v>
      </x:c>
      <x:c r="R114" s="82" t="str">
        <x:v>Rankeado</x:v>
      </x:c>
      <x:c r="S114" s="82" t="str">
        <x:v>https://poke.idleworld.online/pokepedia/pokemon/weezing</x:v>
      </x:c>
      <x:c r="T114" s="143" t="n">
        <x:f>MAX(K114,M114)*Metodologia!$B$16</x:f>
        <x:v>117</x:v>
      </x:c>
      <x:c r="U114" s="143" t="n">
        <x:f>MIN(K114,M114)*Metodologia!$B$16</x:f>
        <x:v>110.5</x:v>
      </x:c>
      <x:c r="V114" s="144" t="n">
        <x:f>SQRT(J114*AVERAGE(L114,N114)*Metodologia!$B$16)</x:f>
        <x:v>89.59631688858644</x:v>
      </x:c>
    </x:row>
    <x:row r="115" ht="22" customHeight="1">
      <x:c r="A115" s="82" t="n">
        <x:v>111</x:v>
      </x:c>
      <x:c r="B115" s="82" t="str">
        <x:v>Rhyhorn</x:v>
      </x:c>
      <x:c r="C115" s="82" t="str">
        <x:v>Terra / Pedra</x:v>
      </x:c>
      <x:c r="D115" s="82" t="str">
        <x:v>Orebound</x:v>
      </x:c>
      <x:c r="E115" s="82" t="n">
        <x:v>1</x:v>
      </x:c>
      <x:c r="F115" s="82" t="str">
        <x:f>IF(G115&gt;=80,"S+",IF(G115&gt;=72,"S",IF(G115&gt;=65,"A",IF(G115&gt;=58,"B",IF(G115&gt;=50,"C",IF(G115&gt;=42,"D","E"))))))</x:f>
        <x:v>D</x:v>
      </x:c>
      <x:c r="G115" s="142" t="n">
        <x:f>ROUND(100*(Metodologia!$B$17*(T115/Metodologia!$B$22)+Metodologia!$B$18*(U115/Metodologia!$B$23)+Metodologia!$B$19*(V115/Metodologia!$B$24)+Metodologia!$B$20*(O115/Metodologia!$B$25)+Metodologia!$B$21*(I115/Metodologia!$B$26)),2)</x:f>
        <x:v>47.85</x:v>
      </x:c>
      <x:c r="H115" s="82" t="n">
        <x:f>IF(R115&lt;&gt;"Rankeado","",COUNTIFS($R$5:$R$255,"Rankeado",$G$5:$G$255,"&gt;"&amp;G115)+COUNTIFS($R$5:R115,"Rankeado",$G$5:G115,G115))</x:f>
        <x:v>141</x:v>
      </x:c>
      <x:c r="I115" s="82" t="n">
        <x:f>SUM(J115:O115)</x:f>
        <x:v>345</x:v>
      </x:c>
      <x:c r="J115" s="82" t="n">
        <x:v>80</x:v>
      </x:c>
      <x:c r="K115" s="82" t="n">
        <x:v>85</x:v>
      </x:c>
      <x:c r="L115" s="82" t="n">
        <x:v>95</x:v>
      </x:c>
      <x:c r="M115" s="82" t="n">
        <x:v>30</x:v>
      </x:c>
      <x:c r="N115" s="82" t="n">
        <x:v>30</x:v>
      </x:c>
      <x:c r="O115" s="82" t="n">
        <x:v>25</x:v>
      </x:c>
      <x:c r="P115" s="82" t="str">
        <x:v>Sim</x:v>
      </x:c>
      <x:c r="Q115" s="82" t="str">
        <x:v>Não</x:v>
      </x:c>
      <x:c r="R115" s="82" t="str">
        <x:v>Rankeado</x:v>
      </x:c>
      <x:c r="S115" s="82" t="str">
        <x:v>https://poke.idleworld.online/pokepedia/pokemon/rhyhorn</x:v>
      </x:c>
      <x:c r="T115" s="143" t="n">
        <x:f>MAX(K115,M115)*Metodologia!$B$16</x:f>
        <x:v>110.5</x:v>
      </x:c>
      <x:c r="U115" s="143" t="n">
        <x:f>MIN(K115,M115)*Metodologia!$B$16</x:f>
        <x:v>39</x:v>
      </x:c>
      <x:c r="V115" s="144" t="n">
        <x:f>SQRT(J115*AVERAGE(L115,N115)*Metodologia!$B$16)</x:f>
        <x:v>80.62257748298549</x:v>
      </x:c>
    </x:row>
    <x:row r="116" ht="22" customHeight="1">
      <x:c r="A116" s="82" t="n">
        <x:v>112</x:v>
      </x:c>
      <x:c r="B116" s="82" t="str">
        <x:v>Rhydon</x:v>
      </x:c>
      <x:c r="C116" s="82" t="str">
        <x:v>Terra / Pedra</x:v>
      </x:c>
      <x:c r="D116" s="82" t="str">
        <x:v>Orebound</x:v>
      </x:c>
      <x:c r="E116" s="82" t="n">
        <x:v>1</x:v>
      </x:c>
      <x:c r="F116" s="82" t="str">
        <x:f>IF(G116&gt;=80,"S+",IF(G116&gt;=72,"S",IF(G116&gt;=65,"A",IF(G116&gt;=58,"B",IF(G116&gt;=50,"C",IF(G116&gt;=42,"D","E"))))))</x:f>
        <x:v>A</x:v>
      </x:c>
      <x:c r="G116" s="142" t="n">
        <x:f>ROUND(100*(Metodologia!$B$17*(T116/Metodologia!$B$22)+Metodologia!$B$18*(U116/Metodologia!$B$23)+Metodologia!$B$19*(V116/Metodologia!$B$24)+Metodologia!$B$20*(O116/Metodologia!$B$25)+Metodologia!$B$21*(I116/Metodologia!$B$26)),2)</x:f>
        <x:v>71.24</x:v>
      </x:c>
      <x:c r="H116" s="82" t="n">
        <x:f>IF(R116&lt;&gt;"Rankeado","",COUNTIFS($R$5:$R$255,"Rankeado",$G$5:$G$255,"&gt;"&amp;G116)+COUNTIFS($R$5:R116,"Rankeado",$G$5:G116,G116))</x:f>
        <x:v>13</x:v>
      </x:c>
      <x:c r="I116" s="82" t="n">
        <x:f>SUM(J116:O116)</x:f>
        <x:v>485</x:v>
      </x:c>
      <x:c r="J116" s="82" t="n">
        <x:v>105</x:v>
      </x:c>
      <x:c r="K116" s="82" t="n">
        <x:v>130</x:v>
      </x:c>
      <x:c r="L116" s="82" t="n">
        <x:v>120</x:v>
      </x:c>
      <x:c r="M116" s="82" t="n">
        <x:v>45</x:v>
      </x:c>
      <x:c r="N116" s="82" t="n">
        <x:v>45</x:v>
      </x:c>
      <x:c r="O116" s="82" t="n">
        <x:v>40</x:v>
      </x:c>
      <x:c r="P116" s="82" t="str">
        <x:v>Sim</x:v>
      </x:c>
      <x:c r="Q116" s="82" t="str">
        <x:v>Não</x:v>
      </x:c>
      <x:c r="R116" s="82" t="str">
        <x:v>Rankeado</x:v>
      </x:c>
      <x:c r="S116" s="82" t="str">
        <x:v>https://poke.idleworld.online/pokepedia/pokemon/rhydon</x:v>
      </x:c>
      <x:c r="T116" s="143" t="n">
        <x:f>MAX(K116,M116)*Metodologia!$B$16</x:f>
        <x:v>169</x:v>
      </x:c>
      <x:c r="U116" s="143" t="n">
        <x:f>MIN(K116,M116)*Metodologia!$B$16</x:f>
        <x:v>58.5</x:v>
      </x:c>
      <x:c r="V116" s="144" t="n">
        <x:f>SQRT(J116*AVERAGE(L116,N116)*Metodologia!$B$16)</x:f>
        <x:v>106.11903693494396</x:v>
      </x:c>
    </x:row>
    <x:row r="117" ht="22" customHeight="1">
      <x:c r="A117" s="82" t="n">
        <x:v>113</x:v>
      </x:c>
      <x:c r="B117" s="82" t="str">
        <x:v>Chansey</x:v>
      </x:c>
      <x:c r="C117" s="82" t="str">
        <x:v>Normal</x:v>
      </x:c>
      <x:c r="D117" s="82" t="str">
        <x:v>Gardestrike</x:v>
      </x:c>
      <x:c r="E117" s="82" t="n">
        <x:v>1</x:v>
      </x:c>
      <x:c r="F117" s="82" t="str">
        <x:f>IF(G117&gt;=80,"S+",IF(G117&gt;=72,"S",IF(G117&gt;=65,"A",IF(G117&gt;=58,"B",IF(G117&gt;=50,"C",IF(G117&gt;=42,"D","E"))))))</x:f>
        <x:v>E</x:v>
      </x:c>
      <x:c r="G117" s="142" t="n">
        <x:f>ROUND(100*(Metodologia!$B$17*(T117/Metodologia!$B$22)+Metodologia!$B$18*(U117/Metodologia!$B$23)+Metodologia!$B$19*(V117/Metodologia!$B$24)+Metodologia!$B$20*(O117/Metodologia!$B$25)+Metodologia!$B$21*(I117/Metodologia!$B$26)),2)</x:f>
        <x:v>33.67</x:v>
      </x:c>
      <x:c r="H117" s="82" t="n">
        <x:f>IF(R117&lt;&gt;"Rankeado","",COUNTIFS($R$5:$R$255,"Rankeado",$G$5:$G$255,"&gt;"&amp;G117)+COUNTIFS($R$5:R117,"Rankeado",$G$5:G117,G117))</x:f>
        <x:v>214</x:v>
      </x:c>
      <x:c r="I117" s="82" t="n">
        <x:f>SUM(J117:O117)</x:f>
        <x:v>450</x:v>
      </x:c>
      <x:c r="J117" s="82" t="n">
        <x:v>250</x:v>
      </x:c>
      <x:c r="K117" s="82" t="n">
        <x:v>5</x:v>
      </x:c>
      <x:c r="L117" s="82" t="n">
        <x:v>5</x:v>
      </x:c>
      <x:c r="M117" s="82" t="n">
        <x:v>35</x:v>
      </x:c>
      <x:c r="N117" s="82" t="n">
        <x:v>105</x:v>
      </x:c>
      <x:c r="O117" s="82" t="n">
        <x:v>50</x:v>
      </x:c>
      <x:c r="P117" s="82" t="str">
        <x:v>Não</x:v>
      </x:c>
      <x:c r="Q117" s="82" t="str">
        <x:v>Não</x:v>
      </x:c>
      <x:c r="R117" s="82" t="str">
        <x:v>Rankeado</x:v>
      </x:c>
      <x:c r="S117" s="82" t="str">
        <x:v>https://poke.idleworld.online/pokepedia/pokemon/chansey</x:v>
      </x:c>
      <x:c r="T117" s="143" t="n">
        <x:f>MAX(K117,M117)*Metodologia!$B$16</x:f>
        <x:v>45.5</x:v>
      </x:c>
      <x:c r="U117" s="143" t="n">
        <x:f>MIN(K117,M117)*Metodologia!$B$16</x:f>
        <x:v>6.5</x:v>
      </x:c>
      <x:c r="V117" s="144" t="n">
        <x:f>SQRT(J117*AVERAGE(L117,N117)*Metodologia!$B$16)</x:f>
        <x:v>133.69741957120937</x:v>
      </x:c>
    </x:row>
    <x:row r="118" ht="22" customHeight="1">
      <x:c r="A118" s="82" t="n">
        <x:v>114</x:v>
      </x:c>
      <x:c r="B118" s="82" t="str">
        <x:v>Tangela</x:v>
      </x:c>
      <x:c r="C118" s="82" t="str">
        <x:v>Planta</x:v>
      </x:c>
      <x:c r="D118" s="82" t="str">
        <x:v>Naturia</x:v>
      </x:c>
      <x:c r="E118" s="82" t="n">
        <x:v>1</x:v>
      </x:c>
      <x:c r="F118" s="82" t="str">
        <x:f>IF(G118&gt;=80,"S+",IF(G118&gt;=72,"S",IF(G118&gt;=65,"A",IF(G118&gt;=58,"B",IF(G118&gt;=50,"C",IF(G118&gt;=42,"D","E"))))))</x:f>
        <x:v>B</x:v>
      </x:c>
      <x:c r="G118" s="142" t="n">
        <x:f>ROUND(100*(Metodologia!$B$17*(T118/Metodologia!$B$22)+Metodologia!$B$18*(U118/Metodologia!$B$23)+Metodologia!$B$19*(V118/Metodologia!$B$24)+Metodologia!$B$20*(O118/Metodologia!$B$25)+Metodologia!$B$21*(I118/Metodologia!$B$26)),2)</x:f>
        <x:v>58.99</x:v>
      </x:c>
      <x:c r="H118" s="82" t="n">
        <x:f>IF(R118&lt;&gt;"Rankeado","",COUNTIFS($R$5:$R$255,"Rankeado",$G$5:$G$255,"&gt;"&amp;G118)+COUNTIFS($R$5:R118,"Rankeado",$G$5:G118,G118))</x:f>
        <x:v>74</x:v>
      </x:c>
      <x:c r="I118" s="82" t="n">
        <x:f>SUM(J118:O118)</x:f>
        <x:v>435</x:v>
      </x:c>
      <x:c r="J118" s="82" t="n">
        <x:v>65</x:v>
      </x:c>
      <x:c r="K118" s="82" t="n">
        <x:v>55</x:v>
      </x:c>
      <x:c r="L118" s="82" t="n">
        <x:v>115</x:v>
      </x:c>
      <x:c r="M118" s="82" t="n">
        <x:v>100</x:v>
      </x:c>
      <x:c r="N118" s="82" t="n">
        <x:v>40</x:v>
      </x:c>
      <x:c r="O118" s="82" t="n">
        <x:v>60</x:v>
      </x:c>
      <x:c r="P118" s="82" t="str">
        <x:v>Sim</x:v>
      </x:c>
      <x:c r="Q118" s="82" t="str">
        <x:v>Não</x:v>
      </x:c>
      <x:c r="R118" s="82" t="str">
        <x:v>Rankeado</x:v>
      </x:c>
      <x:c r="S118" s="82" t="str">
        <x:v>https://poke.idleworld.online/pokepedia/pokemon/tangela</x:v>
      </x:c>
      <x:c r="T118" s="143" t="n">
        <x:f>MAX(K118,M118)*Metodologia!$B$16</x:f>
        <x:v>130</x:v>
      </x:c>
      <x:c r="U118" s="143" t="n">
        <x:f>MIN(K118,M118)*Metodologia!$B$16</x:f>
        <x:v>71.5</x:v>
      </x:c>
      <x:c r="V118" s="144" t="n">
        <x:f>SQRT(J118*AVERAGE(L118,N118)*Metodologia!$B$16)</x:f>
        <x:v>80.92434738692675</x:v>
      </x:c>
    </x:row>
    <x:row r="119" ht="22" customHeight="1">
      <x:c r="A119" s="82" t="n">
        <x:v>115</x:v>
      </x:c>
      <x:c r="B119" s="82" t="str">
        <x:v>Kangaskhan</x:v>
      </x:c>
      <x:c r="C119" s="82" t="str">
        <x:v>Normal</x:v>
      </x:c>
      <x:c r="D119" s="82" t="str">
        <x:v>Gardestrike</x:v>
      </x:c>
      <x:c r="E119" s="82" t="n">
        <x:v>1</x:v>
      </x:c>
      <x:c r="F119" s="82" t="str">
        <x:f>IF(G119&gt;=80,"S+",IF(G119&gt;=72,"S",IF(G119&gt;=65,"A",IF(G119&gt;=58,"B",IF(G119&gt;=50,"C",IF(G119&gt;=42,"D","E"))))))</x:f>
        <x:v>B</x:v>
      </x:c>
      <x:c r="G119" s="142" t="n">
        <x:f>ROUND(100*(Metodologia!$B$17*(T119/Metodologia!$B$22)+Metodologia!$B$18*(U119/Metodologia!$B$23)+Metodologia!$B$19*(V119/Metodologia!$B$24)+Metodologia!$B$20*(O119/Metodologia!$B$25)+Metodologia!$B$21*(I119/Metodologia!$B$26)),2)</x:f>
        <x:v>60.36</x:v>
      </x:c>
      <x:c r="H119" s="82" t="n">
        <x:f>IF(R119&lt;&gt;"Rankeado","",COUNTIFS($R$5:$R$255,"Rankeado",$G$5:$G$255,"&gt;"&amp;G119)+COUNTIFS($R$5:R119,"Rankeado",$G$5:G119,G119))</x:f>
        <x:v>65</x:v>
      </x:c>
      <x:c r="I119" s="82" t="n">
        <x:f>SUM(J119:O119)</x:f>
        <x:v>490</x:v>
      </x:c>
      <x:c r="J119" s="82" t="n">
        <x:v>105</x:v>
      </x:c>
      <x:c r="K119" s="82" t="n">
        <x:v>95</x:v>
      </x:c>
      <x:c r="L119" s="82" t="n">
        <x:v>80</x:v>
      </x:c>
      <x:c r="M119" s="82" t="n">
        <x:v>40</x:v>
      </x:c>
      <x:c r="N119" s="82" t="n">
        <x:v>80</x:v>
      </x:c>
      <x:c r="O119" s="82" t="n">
        <x:v>90</x:v>
      </x:c>
      <x:c r="P119" s="82" t="str">
        <x:v>Sim</x:v>
      </x:c>
      <x:c r="Q119" s="82" t="str">
        <x:v>Não</x:v>
      </x:c>
      <x:c r="R119" s="82" t="str">
        <x:v>Rankeado</x:v>
      </x:c>
      <x:c r="S119" s="82" t="str">
        <x:v>https://poke.idleworld.online/pokepedia/pokemon/kangaskhan</x:v>
      </x:c>
      <x:c r="T119" s="143" t="n">
        <x:f>MAX(K119,M119)*Metodologia!$B$16</x:f>
        <x:v>123.5</x:v>
      </x:c>
      <x:c r="U119" s="143" t="n">
        <x:f>MIN(K119,M119)*Metodologia!$B$16</x:f>
        <x:v>52</x:v>
      </x:c>
      <x:c r="V119" s="144" t="n">
        <x:f>SQRT(J119*AVERAGE(L119,N119)*Metodologia!$B$16)</x:f>
        <x:v>104.49880382090505</x:v>
      </x:c>
    </x:row>
    <x:row r="120" ht="22" customHeight="1">
      <x:c r="A120" s="82" t="n">
        <x:v>116</x:v>
      </x:c>
      <x:c r="B120" s="82" t="str">
        <x:v>Horsea</x:v>
      </x:c>
      <x:c r="C120" s="82" t="str">
        <x:v>Água</x:v>
      </x:c>
      <x:c r="D120" s="82" t="str">
        <x:v>Seavell</x:v>
      </x:c>
      <x:c r="E120" s="82" t="n">
        <x:v>1</x:v>
      </x:c>
      <x:c r="F120" s="82" t="str">
        <x:f>IF(G120&gt;=80,"S+",IF(G120&gt;=72,"S",IF(G120&gt;=65,"A",IF(G120&gt;=58,"B",IF(G120&gt;=50,"C",IF(G120&gt;=42,"D","E"))))))</x:f>
        <x:v>E</x:v>
      </x:c>
      <x:c r="G120" s="142" t="n">
        <x:f>ROUND(100*(Metodologia!$B$17*(T120/Metodologia!$B$22)+Metodologia!$B$18*(U120/Metodologia!$B$23)+Metodologia!$B$19*(V120/Metodologia!$B$24)+Metodologia!$B$20*(O120/Metodologia!$B$25)+Metodologia!$B$21*(I120/Metodologia!$B$26)),2)</x:f>
        <x:v>41.24</x:v>
      </x:c>
      <x:c r="H120" s="82" t="n">
        <x:f>IF(R120&lt;&gt;"Rankeado","",COUNTIFS($R$5:$R$255,"Rankeado",$G$5:$G$255,"&gt;"&amp;G120)+COUNTIFS($R$5:R120,"Rankeado",$G$5:G120,G120))</x:f>
        <x:v>175</x:v>
      </x:c>
      <x:c r="I120" s="82" t="n">
        <x:f>SUM(J120:O120)</x:f>
        <x:v>295</x:v>
      </x:c>
      <x:c r="J120" s="82" t="n">
        <x:v>30</x:v>
      </x:c>
      <x:c r="K120" s="82" t="n">
        <x:v>40</x:v>
      </x:c>
      <x:c r="L120" s="82" t="n">
        <x:v>70</x:v>
      </x:c>
      <x:c r="M120" s="82" t="n">
        <x:v>70</x:v>
      </x:c>
      <x:c r="N120" s="82" t="n">
        <x:v>25</x:v>
      </x:c>
      <x:c r="O120" s="82" t="n">
        <x:v>60</x:v>
      </x:c>
      <x:c r="P120" s="82" t="str">
        <x:v>Não</x:v>
      </x:c>
      <x:c r="Q120" s="82" t="str">
        <x:v>Não</x:v>
      </x:c>
      <x:c r="R120" s="82" t="str">
        <x:v>Rankeado</x:v>
      </x:c>
      <x:c r="S120" s="82" t="str">
        <x:v>https://poke.idleworld.online/pokepedia/pokemon/horsea</x:v>
      </x:c>
      <x:c r="T120" s="143" t="n">
        <x:f>MAX(K120,M120)*Metodologia!$B$16</x:f>
        <x:v>91</x:v>
      </x:c>
      <x:c r="U120" s="143" t="n">
        <x:f>MIN(K120,M120)*Metodologia!$B$16</x:f>
        <x:v>52</x:v>
      </x:c>
      <x:c r="V120" s="144" t="n">
        <x:f>SQRT(J120*AVERAGE(L120,N120)*Metodologia!$B$16)</x:f>
        <x:v>43.04067843331469</x:v>
      </x:c>
    </x:row>
    <x:row r="121" ht="22" customHeight="1">
      <x:c r="A121" s="82" t="n">
        <x:v>117</x:v>
      </x:c>
      <x:c r="B121" s="82" t="str">
        <x:v>Seadra</x:v>
      </x:c>
      <x:c r="C121" s="82" t="str">
        <x:v>Água</x:v>
      </x:c>
      <x:c r="D121" s="82" t="str">
        <x:v>Seavell</x:v>
      </x:c>
      <x:c r="E121" s="82" t="n">
        <x:v>1</x:v>
      </x:c>
      <x:c r="F121" s="82" t="str">
        <x:f>IF(G121&gt;=80,"S+",IF(G121&gt;=72,"S",IF(G121&gt;=65,"A",IF(G121&gt;=58,"B",IF(G121&gt;=50,"C",IF(G121&gt;=42,"D","E"))))))</x:f>
        <x:v>B</x:v>
      </x:c>
      <x:c r="G121" s="142" t="n">
        <x:f>ROUND(100*(Metodologia!$B$17*(T121/Metodologia!$B$22)+Metodologia!$B$18*(U121/Metodologia!$B$23)+Metodologia!$B$19*(V121/Metodologia!$B$24)+Metodologia!$B$20*(O121/Metodologia!$B$25)+Metodologia!$B$21*(I121/Metodologia!$B$26)),2)</x:f>
        <x:v>58.67</x:v>
      </x:c>
      <x:c r="H121" s="82" t="n">
        <x:f>IF(R121&lt;&gt;"Rankeado","",COUNTIFS($R$5:$R$255,"Rankeado",$G$5:$G$255,"&gt;"&amp;G121)+COUNTIFS($R$5:R121,"Rankeado",$G$5:G121,G121))</x:f>
        <x:v>79</x:v>
      </x:c>
      <x:c r="I121" s="82" t="n">
        <x:f>SUM(J121:O121)</x:f>
        <x:v>440</x:v>
      </x:c>
      <x:c r="J121" s="82" t="n">
        <x:v>55</x:v>
      </x:c>
      <x:c r="K121" s="82" t="n">
        <x:v>65</x:v>
      </x:c>
      <x:c r="L121" s="82" t="n">
        <x:v>95</x:v>
      </x:c>
      <x:c r="M121" s="82" t="n">
        <x:v>95</x:v>
      </x:c>
      <x:c r="N121" s="82" t="n">
        <x:v>45</x:v>
      </x:c>
      <x:c r="O121" s="82" t="n">
        <x:v>85</x:v>
      </x:c>
      <x:c r="P121" s="82" t="str">
        <x:v>Não</x:v>
      </x:c>
      <x:c r="Q121" s="82" t="str">
        <x:v>Não</x:v>
      </x:c>
      <x:c r="R121" s="82" t="str">
        <x:v>Rankeado</x:v>
      </x:c>
      <x:c r="S121" s="82" t="str">
        <x:v>https://poke.idleworld.online/pokepedia/pokemon/seadra</x:v>
      </x:c>
      <x:c r="T121" s="143" t="n">
        <x:f>MAX(K121,M121)*Metodologia!$B$16</x:f>
        <x:v>123.5</x:v>
      </x:c>
      <x:c r="U121" s="143" t="n">
        <x:f>MIN(K121,M121)*Metodologia!$B$16</x:f>
        <x:v>84.5</x:v>
      </x:c>
      <x:c r="V121" s="144" t="n">
        <x:f>SQRT(J121*AVERAGE(L121,N121)*Metodologia!$B$16)</x:f>
        <x:v>70.74602462329597</x:v>
      </x:c>
    </x:row>
    <x:row r="122" ht="22" customHeight="1">
      <x:c r="A122" s="82" t="n">
        <x:v>118</x:v>
      </x:c>
      <x:c r="B122" s="82" t="str">
        <x:v>Goldeen</x:v>
      </x:c>
      <x:c r="C122" s="82" t="str">
        <x:v>Água</x:v>
      </x:c>
      <x:c r="D122" s="82" t="str">
        <x:v>Seavell</x:v>
      </x:c>
      <x:c r="E122" s="82" t="n">
        <x:v>1</x:v>
      </x:c>
      <x:c r="F122" s="82" t="str">
        <x:f>IF(G122&gt;=80,"S+",IF(G122&gt;=72,"S",IF(G122&gt;=65,"A",IF(G122&gt;=58,"B",IF(G122&gt;=50,"C",IF(G122&gt;=42,"D","E"))))))</x:f>
        <x:v>E</x:v>
      </x:c>
      <x:c r="G122" s="142" t="n">
        <x:f>ROUND(100*(Metodologia!$B$17*(T122/Metodologia!$B$22)+Metodologia!$B$18*(U122/Metodologia!$B$23)+Metodologia!$B$19*(V122/Metodologia!$B$24)+Metodologia!$B$20*(O122/Metodologia!$B$25)+Metodologia!$B$21*(I122/Metodologia!$B$26)),2)</x:f>
        <x:v>41.33</x:v>
      </x:c>
      <x:c r="H122" s="82" t="n">
        <x:f>IF(R122&lt;&gt;"Rankeado","",COUNTIFS($R$5:$R$255,"Rankeado",$G$5:$G$255,"&gt;"&amp;G122)+COUNTIFS($R$5:R122,"Rankeado",$G$5:G122,G122))</x:f>
        <x:v>174</x:v>
      </x:c>
      <x:c r="I122" s="82" t="n">
        <x:f>SUM(J122:O122)</x:f>
        <x:v>320</x:v>
      </x:c>
      <x:c r="J122" s="82" t="n">
        <x:v>45</x:v>
      </x:c>
      <x:c r="K122" s="82" t="n">
        <x:v>67</x:v>
      </x:c>
      <x:c r="L122" s="82" t="n">
        <x:v>60</x:v>
      </x:c>
      <x:c r="M122" s="82" t="n">
        <x:v>35</x:v>
      </x:c>
      <x:c r="N122" s="82" t="n">
        <x:v>50</x:v>
      </x:c>
      <x:c r="O122" s="82" t="n">
        <x:v>63</x:v>
      </x:c>
      <x:c r="P122" s="82" t="str">
        <x:v>Não</x:v>
      </x:c>
      <x:c r="Q122" s="82" t="str">
        <x:v>Não</x:v>
      </x:c>
      <x:c r="R122" s="82" t="str">
        <x:v>Rankeado</x:v>
      </x:c>
      <x:c r="S122" s="82" t="str">
        <x:v>https://poke.idleworld.online/pokepedia/pokemon/goldeen</x:v>
      </x:c>
      <x:c r="T122" s="143" t="n">
        <x:f>MAX(K122,M122)*Metodologia!$B$16</x:f>
        <x:v>87.10000000000001</x:v>
      </x:c>
      <x:c r="U122" s="143" t="n">
        <x:f>MIN(K122,M122)*Metodologia!$B$16</x:f>
        <x:v>45.5</x:v>
      </x:c>
      <x:c r="V122" s="144" t="n">
        <x:f>SQRT(J122*AVERAGE(L122,N122)*Metodologia!$B$16)</x:f>
        <x:v>56.72301120356711</x:v>
      </x:c>
    </x:row>
    <x:row r="123" ht="22" customHeight="1">
      <x:c r="A123" s="82" t="n">
        <x:v>119</x:v>
      </x:c>
      <x:c r="B123" s="82" t="str">
        <x:v>Seaking</x:v>
      </x:c>
      <x:c r="C123" s="82" t="str">
        <x:v>Água</x:v>
      </x:c>
      <x:c r="D123" s="82" t="str">
        <x:v>Seavell</x:v>
      </x:c>
      <x:c r="E123" s="82" t="n">
        <x:v>1</x:v>
      </x:c>
      <x:c r="F123" s="82" t="str">
        <x:f>IF(G123&gt;=80,"S+",IF(G123&gt;=72,"S",IF(G123&gt;=65,"A",IF(G123&gt;=58,"B",IF(G123&gt;=50,"C",IF(G123&gt;=42,"D","E"))))))</x:f>
        <x:v>B</x:v>
      </x:c>
      <x:c r="G123" s="142" t="n">
        <x:f>ROUND(100*(Metodologia!$B$17*(T123/Metodologia!$B$22)+Metodologia!$B$18*(U123/Metodologia!$B$23)+Metodologia!$B$19*(V123/Metodologia!$B$24)+Metodologia!$B$20*(O123/Metodologia!$B$25)+Metodologia!$B$21*(I123/Metodologia!$B$26)),2)</x:f>
        <x:v>58</x:v>
      </x:c>
      <x:c r="H123" s="82" t="n">
        <x:f>IF(R123&lt;&gt;"Rankeado","",COUNTIFS($R$5:$R$255,"Rankeado",$G$5:$G$255,"&gt;"&amp;G123)+COUNTIFS($R$5:R123,"Rankeado",$G$5:G123,G123))</x:f>
        <x:v>81</x:v>
      </x:c>
      <x:c r="I123" s="82" t="n">
        <x:f>SUM(J123:O123)</x:f>
        <x:v>450</x:v>
      </x:c>
      <x:c r="J123" s="82" t="n">
        <x:v>80</x:v>
      </x:c>
      <x:c r="K123" s="82" t="n">
        <x:v>92</x:v>
      </x:c>
      <x:c r="L123" s="82" t="n">
        <x:v>65</x:v>
      </x:c>
      <x:c r="M123" s="82" t="n">
        <x:v>65</x:v>
      </x:c>
      <x:c r="N123" s="82" t="n">
        <x:v>80</x:v>
      </x:c>
      <x:c r="O123" s="82" t="n">
        <x:v>68</x:v>
      </x:c>
      <x:c r="P123" s="82" t="str">
        <x:v>Não</x:v>
      </x:c>
      <x:c r="Q123" s="82" t="str">
        <x:v>Não</x:v>
      </x:c>
      <x:c r="R123" s="82" t="str">
        <x:v>Rankeado</x:v>
      </x:c>
      <x:c r="S123" s="82" t="str">
        <x:v>https://poke.idleworld.online/pokepedia/pokemon/seaking</x:v>
      </x:c>
      <x:c r="T123" s="143" t="n">
        <x:f>MAX(K123,M123)*Metodologia!$B$16</x:f>
        <x:v>119.60000000000001</x:v>
      </x:c>
      <x:c r="U123" s="143" t="n">
        <x:f>MIN(K123,M123)*Metodologia!$B$16</x:f>
        <x:v>84.5</x:v>
      </x:c>
      <x:c r="V123" s="144" t="n">
        <x:f>SQRT(J123*AVERAGE(L123,N123)*Metodologia!$B$16)</x:f>
        <x:v>86.83317338436964</x:v>
      </x:c>
    </x:row>
    <x:row r="124" ht="22" customHeight="1">
      <x:c r="A124" s="82" t="n">
        <x:v>120</x:v>
      </x:c>
      <x:c r="B124" s="82" t="str">
        <x:v>Staryu</x:v>
      </x:c>
      <x:c r="C124" s="82" t="str">
        <x:v>Água</x:v>
      </x:c>
      <x:c r="D124" s="82" t="str">
        <x:v>Seavell</x:v>
      </x:c>
      <x:c r="E124" s="82" t="n">
        <x:v>1</x:v>
      </x:c>
      <x:c r="F124" s="82" t="str">
        <x:f>IF(G124&gt;=80,"S+",IF(G124&gt;=72,"S",IF(G124&gt;=65,"A",IF(G124&gt;=58,"B",IF(G124&gt;=50,"C",IF(G124&gt;=42,"D","E"))))))</x:f>
        <x:v>D</x:v>
      </x:c>
      <x:c r="G124" s="142" t="n">
        <x:f>ROUND(100*(Metodologia!$B$17*(T124/Metodologia!$B$22)+Metodologia!$B$18*(U124/Metodologia!$B$23)+Metodologia!$B$19*(V124/Metodologia!$B$24)+Metodologia!$B$20*(O124/Metodologia!$B$25)+Metodologia!$B$21*(I124/Metodologia!$B$26)),2)</x:f>
        <x:v>44.01</x:v>
      </x:c>
      <x:c r="H124" s="82" t="n">
        <x:f>IF(R124&lt;&gt;"Rankeado","",COUNTIFS($R$5:$R$255,"Rankeado",$G$5:$G$255,"&gt;"&amp;G124)+COUNTIFS($R$5:R124,"Rankeado",$G$5:G124,G124))</x:f>
        <x:v>162</x:v>
      </x:c>
      <x:c r="I124" s="82" t="n">
        <x:f>SUM(J124:O124)</x:f>
        <x:v>340</x:v>
      </x:c>
      <x:c r="J124" s="82" t="n">
        <x:v>30</x:v>
      </x:c>
      <x:c r="K124" s="82" t="n">
        <x:v>45</x:v>
      </x:c>
      <x:c r="L124" s="82" t="n">
        <x:v>55</x:v>
      </x:c>
      <x:c r="M124" s="82" t="n">
        <x:v>70</x:v>
      </x:c>
      <x:c r="N124" s="82" t="n">
        <x:v>55</x:v>
      </x:c>
      <x:c r="O124" s="82" t="n">
        <x:v>85</x:v>
      </x:c>
      <x:c r="P124" s="82" t="str">
        <x:v>Sim</x:v>
      </x:c>
      <x:c r="Q124" s="82" t="str">
        <x:v>Não</x:v>
      </x:c>
      <x:c r="R124" s="82" t="str">
        <x:v>Rankeado</x:v>
      </x:c>
      <x:c r="S124" s="82" t="str">
        <x:v>https://poke.idleworld.online/pokepedia/pokemon/staryu</x:v>
      </x:c>
      <x:c r="T124" s="143" t="n">
        <x:f>MAX(K124,M124)*Metodologia!$B$16</x:f>
        <x:v>91</x:v>
      </x:c>
      <x:c r="U124" s="143" t="n">
        <x:f>MIN(K124,M124)*Metodologia!$B$16</x:f>
        <x:v>58.5</x:v>
      </x:c>
      <x:c r="V124" s="144" t="n">
        <x:f>SQRT(J124*AVERAGE(L124,N124)*Metodologia!$B$16)</x:f>
        <x:v>46.314144707637645</x:v>
      </x:c>
    </x:row>
    <x:row r="125" ht="22" customHeight="1">
      <x:c r="A125" s="82" t="n">
        <x:v>121</x:v>
      </x:c>
      <x:c r="B125" s="82" t="str">
        <x:v>Starmie</x:v>
      </x:c>
      <x:c r="C125" s="82" t="str">
        <x:v>Água / Psíquico</x:v>
      </x:c>
      <x:c r="D125" s="82" t="str">
        <x:v>Psycraft / Seavell</x:v>
      </x:c>
      <x:c r="E125" s="82" t="n">
        <x:v>2</x:v>
      </x:c>
      <x:c r="F125" s="82" t="str">
        <x:f>IF(G125&gt;=80,"S+",IF(G125&gt;=72,"S",IF(G125&gt;=65,"A",IF(G125&gt;=58,"B",IF(G125&gt;=50,"C",IF(G125&gt;=42,"D","E"))))))</x:f>
        <x:v>A</x:v>
      </x:c>
      <x:c r="G125" s="142" t="n">
        <x:f>ROUND(100*(Metodologia!$B$17*(T125/Metodologia!$B$22)+Metodologia!$B$18*(U125/Metodologia!$B$23)+Metodologia!$B$19*(V125/Metodologia!$B$24)+Metodologia!$B$20*(O125/Metodologia!$B$25)+Metodologia!$B$21*(I125/Metodologia!$B$26)),2)</x:f>
        <x:v>65.15</x:v>
      </x:c>
      <x:c r="H125" s="82" t="n">
        <x:f>IF(R125&lt;&gt;"Rankeado","",COUNTIFS($R$5:$R$255,"Rankeado",$G$5:$G$255,"&gt;"&amp;G125)+COUNTIFS($R$5:R125,"Rankeado",$G$5:G125,G125))</x:f>
        <x:v>41</x:v>
      </x:c>
      <x:c r="I125" s="82" t="n">
        <x:f>SUM(J125:O125)</x:f>
        <x:v>520</x:v>
      </x:c>
      <x:c r="J125" s="82" t="n">
        <x:v>60</x:v>
      </x:c>
      <x:c r="K125" s="82" t="n">
        <x:v>75</x:v>
      </x:c>
      <x:c r="L125" s="82" t="n">
        <x:v>85</x:v>
      </x:c>
      <x:c r="M125" s="82" t="n">
        <x:v>100</x:v>
      </x:c>
      <x:c r="N125" s="82" t="n">
        <x:v>85</x:v>
      </x:c>
      <x:c r="O125" s="82" t="n">
        <x:v>115</x:v>
      </x:c>
      <x:c r="P125" s="82" t="str">
        <x:v>Sim</x:v>
      </x:c>
      <x:c r="Q125" s="82" t="str">
        <x:v>Não</x:v>
      </x:c>
      <x:c r="R125" s="82" t="str">
        <x:v>Rankeado</x:v>
      </x:c>
      <x:c r="S125" s="82" t="str">
        <x:v>https://poke.idleworld.online/pokepedia/pokemon/starmie</x:v>
      </x:c>
      <x:c r="T125" s="143" t="n">
        <x:f>MAX(K125,M125)*Metodologia!$B$16</x:f>
        <x:v>130</x:v>
      </x:c>
      <x:c r="U125" s="143" t="n">
        <x:f>MIN(K125,M125)*Metodologia!$B$16</x:f>
        <x:v>97.5</x:v>
      </x:c>
      <x:c r="V125" s="144" t="n">
        <x:f>SQRT(J125*AVERAGE(L125,N125)*Metodologia!$B$16)</x:f>
        <x:v>81.42481194328913</x:v>
      </x:c>
    </x:row>
    <x:row r="126" ht="22" customHeight="1">
      <x:c r="A126" s="82" t="n">
        <x:v>122</x:v>
      </x:c>
      <x:c r="B126" s="82" t="str">
        <x:v>Mr. Mime</x:v>
      </x:c>
      <x:c r="C126" s="82" t="str">
        <x:v>Psíquico / Fada</x:v>
      </x:c>
      <x:c r="D126" s="82" t="str">
        <x:v>Psycraft</x:v>
      </x:c>
      <x:c r="E126" s="82" t="n">
        <x:v>1</x:v>
      </x:c>
      <x:c r="F126" s="82" t="str">
        <x:f>IF(G126&gt;=80,"S+",IF(G126&gt;=72,"S",IF(G126&gt;=65,"A",IF(G126&gt;=58,"B",IF(G126&gt;=50,"C",IF(G126&gt;=42,"D","E"))))))</x:f>
        <x:v>B</x:v>
      </x:c>
      <x:c r="G126" s="142" t="n">
        <x:f>ROUND(100*(Metodologia!$B$17*(T126/Metodologia!$B$22)+Metodologia!$B$18*(U126/Metodologia!$B$23)+Metodologia!$B$19*(V126/Metodologia!$B$24)+Metodologia!$B$20*(O126/Metodologia!$B$25)+Metodologia!$B$21*(I126/Metodologia!$B$26)),2)</x:f>
        <x:v>59.14</x:v>
      </x:c>
      <x:c r="H126" s="82" t="n">
        <x:f>IF(R126&lt;&gt;"Rankeado","",COUNTIFS($R$5:$R$255,"Rankeado",$G$5:$G$255,"&gt;"&amp;G126)+COUNTIFS($R$5:R126,"Rankeado",$G$5:G126,G126))</x:f>
        <x:v>72</x:v>
      </x:c>
      <x:c r="I126" s="82" t="n">
        <x:f>SUM(J126:O126)</x:f>
        <x:v>460</x:v>
      </x:c>
      <x:c r="J126" s="82" t="n">
        <x:v>40</x:v>
      </x:c>
      <x:c r="K126" s="82" t="n">
        <x:v>45</x:v>
      </x:c>
      <x:c r="L126" s="82" t="n">
        <x:v>65</x:v>
      </x:c>
      <x:c r="M126" s="82" t="n">
        <x:v>100</x:v>
      </x:c>
      <x:c r="N126" s="82" t="n">
        <x:v>120</x:v>
      </x:c>
      <x:c r="O126" s="82" t="n">
        <x:v>90</x:v>
      </x:c>
      <x:c r="P126" s="82" t="str">
        <x:v>Sim</x:v>
      </x:c>
      <x:c r="Q126" s="82" t="str">
        <x:v>Não</x:v>
      </x:c>
      <x:c r="R126" s="82" t="str">
        <x:v>Rankeado</x:v>
      </x:c>
      <x:c r="S126" s="82" t="str">
        <x:v>https://poke.idleworld.online/pokepedia/pokemon/mr-mime</x:v>
      </x:c>
      <x:c r="T126" s="143" t="n">
        <x:f>MAX(K126,M126)*Metodologia!$B$16</x:f>
        <x:v>130</x:v>
      </x:c>
      <x:c r="U126" s="143" t="n">
        <x:f>MIN(K126,M126)*Metodologia!$B$16</x:f>
        <x:v>58.5</x:v>
      </x:c>
      <x:c r="V126" s="144" t="n">
        <x:f>SQRT(J126*AVERAGE(L126,N126)*Metodologia!$B$16)</x:f>
        <x:v>69.35416353759881</x:v>
      </x:c>
    </x:row>
    <x:row r="127" ht="22" customHeight="1">
      <x:c r="A127" s="82" t="n">
        <x:v>123</x:v>
      </x:c>
      <x:c r="B127" s="82" t="str">
        <x:v>Scyther</x:v>
      </x:c>
      <x:c r="C127" s="82" t="str">
        <x:v>Inseto / Voador</x:v>
      </x:c>
      <x:c r="D127" s="82" t="str">
        <x:v>Naturia / Wingeon</x:v>
      </x:c>
      <x:c r="E127" s="82" t="n">
        <x:v>2</x:v>
      </x:c>
      <x:c r="F127" s="82" t="str">
        <x:f>IF(G127&gt;=80,"S+",IF(G127&gt;=72,"S",IF(G127&gt;=65,"A",IF(G127&gt;=58,"B",IF(G127&gt;=50,"C",IF(G127&gt;=42,"D","E"))))))</x:f>
        <x:v>A</x:v>
      </x:c>
      <x:c r="G127" s="142" t="n">
        <x:f>ROUND(100*(Metodologia!$B$17*(T127/Metodologia!$B$22)+Metodologia!$B$18*(U127/Metodologia!$B$23)+Metodologia!$B$19*(V127/Metodologia!$B$24)+Metodologia!$B$20*(O127/Metodologia!$B$25)+Metodologia!$B$21*(I127/Metodologia!$B$26)),2)</x:f>
        <x:v>66.79</x:v>
      </x:c>
      <x:c r="H127" s="82" t="n">
        <x:f>IF(R127&lt;&gt;"Rankeado","",COUNTIFS($R$5:$R$255,"Rankeado",$G$5:$G$255,"&gt;"&amp;G127)+COUNTIFS($R$5:R127,"Rankeado",$G$5:G127,G127))</x:f>
        <x:v>31</x:v>
      </x:c>
      <x:c r="I127" s="82" t="n">
        <x:f>SUM(J127:O127)</x:f>
        <x:v>500</x:v>
      </x:c>
      <x:c r="J127" s="82" t="n">
        <x:v>70</x:v>
      </x:c>
      <x:c r="K127" s="82" t="n">
        <x:v>110</x:v>
      </x:c>
      <x:c r="L127" s="82" t="n">
        <x:v>80</x:v>
      </x:c>
      <x:c r="M127" s="82" t="n">
        <x:v>55</x:v>
      </x:c>
      <x:c r="N127" s="82" t="n">
        <x:v>80</x:v>
      </x:c>
      <x:c r="O127" s="82" t="n">
        <x:v>105</x:v>
      </x:c>
      <x:c r="P127" s="82" t="str">
        <x:v>Sim</x:v>
      </x:c>
      <x:c r="Q127" s="82" t="str">
        <x:v>Não</x:v>
      </x:c>
      <x:c r="R127" s="82" t="str">
        <x:v>Rankeado</x:v>
      </x:c>
      <x:c r="S127" s="82" t="str">
        <x:v>https://poke.idleworld.online/pokepedia/pokemon/scyther</x:v>
      </x:c>
      <x:c r="T127" s="143" t="n">
        <x:f>MAX(K127,M127)*Metodologia!$B$16</x:f>
        <x:v>143</x:v>
      </x:c>
      <x:c r="U127" s="143" t="n">
        <x:f>MIN(K127,M127)*Metodologia!$B$16</x:f>
        <x:v>71.5</x:v>
      </x:c>
      <x:c r="V127" s="144" t="n">
        <x:f>SQRT(J127*AVERAGE(L127,N127)*Metodologia!$B$16)</x:f>
        <x:v>85.32291603080617</x:v>
      </x:c>
    </x:row>
    <x:row r="128" ht="22" customHeight="1">
      <x:c r="A128" s="82" t="n">
        <x:v>124</x:v>
      </x:c>
      <x:c r="B128" s="82" t="str">
        <x:v>Jynx</x:v>
      </x:c>
      <x:c r="C128" s="82" t="str">
        <x:v>Gelo / Psíquico</x:v>
      </x:c>
      <x:c r="D128" s="82" t="str">
        <x:v>Psycraft / Seavell</x:v>
      </x:c>
      <x:c r="E128" s="82" t="n">
        <x:v>2</x:v>
      </x:c>
      <x:c r="F128" s="82" t="str">
        <x:f>IF(G128&gt;=80,"S+",IF(G128&gt;=72,"S",IF(G128&gt;=65,"A",IF(G128&gt;=58,"B",IF(G128&gt;=50,"C",IF(G128&gt;=42,"D","E"))))))</x:f>
        <x:v>A</x:v>
      </x:c>
      <x:c r="G128" s="142" t="n">
        <x:f>ROUND(100*(Metodologia!$B$17*(T128/Metodologia!$B$22)+Metodologia!$B$18*(U128/Metodologia!$B$23)+Metodologia!$B$19*(V128/Metodologia!$B$24)+Metodologia!$B$20*(O128/Metodologia!$B$25)+Metodologia!$B$21*(I128/Metodologia!$B$26)),2)</x:f>
        <x:v>66.2</x:v>
      </x:c>
      <x:c r="H128" s="82" t="n">
        <x:f>IF(R128&lt;&gt;"Rankeado","",COUNTIFS($R$5:$R$255,"Rankeado",$G$5:$G$255,"&gt;"&amp;G128)+COUNTIFS($R$5:R128,"Rankeado",$G$5:G128,G128))</x:f>
        <x:v>34</x:v>
      </x:c>
      <x:c r="I128" s="82" t="n">
        <x:f>SUM(J128:O128)</x:f>
        <x:v>455</x:v>
      </x:c>
      <x:c r="J128" s="82" t="n">
        <x:v>65</x:v>
      </x:c>
      <x:c r="K128" s="82" t="n">
        <x:v>50</x:v>
      </x:c>
      <x:c r="L128" s="82" t="n">
        <x:v>35</x:v>
      </x:c>
      <x:c r="M128" s="82" t="n">
        <x:v>115</x:v>
      </x:c>
      <x:c r="N128" s="82" t="n">
        <x:v>95</x:v>
      </x:c>
      <x:c r="O128" s="82" t="n">
        <x:v>95</x:v>
      </x:c>
      <x:c r="P128" s="82" t="str">
        <x:v>Sim</x:v>
      </x:c>
      <x:c r="Q128" s="82" t="str">
        <x:v>Não</x:v>
      </x:c>
      <x:c r="R128" s="82" t="str">
        <x:v>Rankeado</x:v>
      </x:c>
      <x:c r="S128" s="82" t="str">
        <x:v>https://poke.idleworld.online/pokepedia/pokemon/jynx</x:v>
      </x:c>
      <x:c r="T128" s="143" t="n">
        <x:f>MAX(K128,M128)*Metodologia!$B$16</x:f>
        <x:v>149.5</x:v>
      </x:c>
      <x:c r="U128" s="143" t="n">
        <x:f>MIN(K128,M128)*Metodologia!$B$16</x:f>
        <x:v>65</x:v>
      </x:c>
      <x:c r="V128" s="144" t="n">
        <x:f>SQRT(J128*AVERAGE(L128,N128)*Metodologia!$B$16)</x:f>
        <x:v>74.11140263144397</x:v>
      </x:c>
    </x:row>
    <x:row r="129" ht="22" customHeight="1">
      <x:c r="A129" s="82" t="n">
        <x:v>125</x:v>
      </x:c>
      <x:c r="B129" s="82" t="str">
        <x:v>Electabuzz</x:v>
      </x:c>
      <x:c r="C129" s="82" t="str">
        <x:v>Elétrico</x:v>
      </x:c>
      <x:c r="D129" s="82" t="str">
        <x:v>Raibolt</x:v>
      </x:c>
      <x:c r="E129" s="82" t="n">
        <x:v>1</x:v>
      </x:c>
      <x:c r="F129" s="82" t="str">
        <x:f>IF(G129&gt;=80,"S+",IF(G129&gt;=72,"S",IF(G129&gt;=65,"A",IF(G129&gt;=58,"B",IF(G129&gt;=50,"C",IF(G129&gt;=42,"D","E"))))))</x:f>
        <x:v>B</x:v>
      </x:c>
      <x:c r="G129" s="142" t="n">
        <x:f>ROUND(100*(Metodologia!$B$17*(T129/Metodologia!$B$22)+Metodologia!$B$18*(U129/Metodologia!$B$23)+Metodologia!$B$19*(V129/Metodologia!$B$24)+Metodologia!$B$20*(O129/Metodologia!$B$25)+Metodologia!$B$21*(I129/Metodologia!$B$26)),2)</x:f>
        <x:v>62.66</x:v>
      </x:c>
      <x:c r="H129" s="82" t="n">
        <x:f>IF(R129&lt;&gt;"Rankeado","",COUNTIFS($R$5:$R$255,"Rankeado",$G$5:$G$255,"&gt;"&amp;G129)+COUNTIFS($R$5:R129,"Rankeado",$G$5:G129,G129))</x:f>
        <x:v>51</x:v>
      </x:c>
      <x:c r="I129" s="82" t="n">
        <x:f>SUM(J129:O129)</x:f>
        <x:v>490</x:v>
      </x:c>
      <x:c r="J129" s="82" t="n">
        <x:v>65</x:v>
      </x:c>
      <x:c r="K129" s="82" t="n">
        <x:v>83</x:v>
      </x:c>
      <x:c r="L129" s="82" t="n">
        <x:v>57</x:v>
      </x:c>
      <x:c r="M129" s="82" t="n">
        <x:v>95</x:v>
      </x:c>
      <x:c r="N129" s="82" t="n">
        <x:v>85</x:v>
      </x:c>
      <x:c r="O129" s="82" t="n">
        <x:v>105</x:v>
      </x:c>
      <x:c r="P129" s="82" t="str">
        <x:v>Sim</x:v>
      </x:c>
      <x:c r="Q129" s="82" t="str">
        <x:v>Não</x:v>
      </x:c>
      <x:c r="R129" s="82" t="str">
        <x:v>Rankeado</x:v>
      </x:c>
      <x:c r="S129" s="82" t="str">
        <x:v>https://poke.idleworld.online/pokepedia/pokemon/electabuzz</x:v>
      </x:c>
      <x:c r="T129" s="143" t="n">
        <x:f>MAX(K129,M129)*Metodologia!$B$16</x:f>
        <x:v>123.5</x:v>
      </x:c>
      <x:c r="U129" s="143" t="n">
        <x:f>MIN(K129,M129)*Metodologia!$B$16</x:f>
        <x:v>107.9</x:v>
      </x:c>
      <x:c r="V129" s="144" t="n">
        <x:f>SQRT(J129*AVERAGE(L129,N129)*Metodologia!$B$16)</x:f>
        <x:v>77.45643937078441</x:v>
      </x:c>
    </x:row>
    <x:row r="130" ht="22" customHeight="1">
      <x:c r="A130" s="82" t="n">
        <x:v>126</x:v>
      </x:c>
      <x:c r="B130" s="82" t="str">
        <x:v>Magmar</x:v>
      </x:c>
      <x:c r="C130" s="82" t="str">
        <x:v>Fogo</x:v>
      </x:c>
      <x:c r="D130" s="82" t="str">
        <x:v>Volcanic</x:v>
      </x:c>
      <x:c r="E130" s="82" t="n">
        <x:v>1</x:v>
      </x:c>
      <x:c r="F130" s="82" t="str">
        <x:f>IF(G130&gt;=80,"S+",IF(G130&gt;=72,"S",IF(G130&gt;=65,"A",IF(G130&gt;=58,"B",IF(G130&gt;=50,"C",IF(G130&gt;=42,"D","E"))))))</x:f>
        <x:v>B</x:v>
      </x:c>
      <x:c r="G130" s="142" t="n">
        <x:f>ROUND(100*(Metodologia!$B$17*(T130/Metodologia!$B$22)+Metodologia!$B$18*(U130/Metodologia!$B$23)+Metodologia!$B$19*(V130/Metodologia!$B$24)+Metodologia!$B$20*(O130/Metodologia!$B$25)+Metodologia!$B$21*(I130/Metodologia!$B$26)),2)</x:f>
        <x:v>64.93</x:v>
      </x:c>
      <x:c r="H130" s="82" t="n">
        <x:f>IF(R130&lt;&gt;"Rankeado","",COUNTIFS($R$5:$R$255,"Rankeado",$G$5:$G$255,"&gt;"&amp;G130)+COUNTIFS($R$5:R130,"Rankeado",$G$5:G130,G130))</x:f>
        <x:v>43</x:v>
      </x:c>
      <x:c r="I130" s="82" t="n">
        <x:f>SUM(J130:O130)</x:f>
        <x:v>495</x:v>
      </x:c>
      <x:c r="J130" s="82" t="n">
        <x:v>65</x:v>
      </x:c>
      <x:c r="K130" s="82" t="n">
        <x:v>95</x:v>
      </x:c>
      <x:c r="L130" s="82" t="n">
        <x:v>57</x:v>
      </x:c>
      <x:c r="M130" s="82" t="n">
        <x:v>100</x:v>
      </x:c>
      <x:c r="N130" s="82" t="n">
        <x:v>85</x:v>
      </x:c>
      <x:c r="O130" s="82" t="n">
        <x:v>93</x:v>
      </x:c>
      <x:c r="P130" s="82" t="str">
        <x:v>Sim</x:v>
      </x:c>
      <x:c r="Q130" s="82" t="str">
        <x:v>Não</x:v>
      </x:c>
      <x:c r="R130" s="82" t="str">
        <x:v>Rankeado</x:v>
      </x:c>
      <x:c r="S130" s="82" t="str">
        <x:v>https://poke.idleworld.online/pokepedia/pokemon/magmar</x:v>
      </x:c>
      <x:c r="T130" s="143" t="n">
        <x:f>MAX(K130,M130)*Metodologia!$B$16</x:f>
        <x:v>130</x:v>
      </x:c>
      <x:c r="U130" s="143" t="n">
        <x:f>MIN(K130,M130)*Metodologia!$B$16</x:f>
        <x:v>123.5</x:v>
      </x:c>
      <x:c r="V130" s="144" t="n">
        <x:f>SQRT(J130*AVERAGE(L130,N130)*Metodologia!$B$16)</x:f>
        <x:v>77.45643937078441</x:v>
      </x:c>
    </x:row>
    <x:row r="131" ht="22" customHeight="1">
      <x:c r="A131" s="82" t="n">
        <x:v>127</x:v>
      </x:c>
      <x:c r="B131" s="82" t="str">
        <x:v>Pinsir</x:v>
      </x:c>
      <x:c r="C131" s="82" t="str">
        <x:v>Inseto</x:v>
      </x:c>
      <x:c r="D131" s="82" t="str">
        <x:v>Naturia</x:v>
      </x:c>
      <x:c r="E131" s="82" t="n">
        <x:v>1</x:v>
      </x:c>
      <x:c r="F131" s="82" t="str">
        <x:f>IF(G131&gt;=80,"S+",IF(G131&gt;=72,"S",IF(G131&gt;=65,"A",IF(G131&gt;=58,"B",IF(G131&gt;=50,"C",IF(G131&gt;=42,"D","E"))))))</x:f>
        <x:v>A</x:v>
      </x:c>
      <x:c r="G131" s="142" t="n">
        <x:f>ROUND(100*(Metodologia!$B$17*(T131/Metodologia!$B$22)+Metodologia!$B$18*(U131/Metodologia!$B$23)+Metodologia!$B$19*(V131/Metodologia!$B$24)+Metodologia!$B$20*(O131/Metodologia!$B$25)+Metodologia!$B$21*(I131/Metodologia!$B$26)),2)</x:f>
        <x:v>71.24</x:v>
      </x:c>
      <x:c r="H131" s="82" t="n">
        <x:f>IF(R131&lt;&gt;"Rankeado","",COUNTIFS($R$5:$R$255,"Rankeado",$G$5:$G$255,"&gt;"&amp;G131)+COUNTIFS($R$5:R131,"Rankeado",$G$5:G131,G131))</x:f>
        <x:v>14</x:v>
      </x:c>
      <x:c r="I131" s="82" t="n">
        <x:f>SUM(J131:O131)</x:f>
        <x:v>500</x:v>
      </x:c>
      <x:c r="J131" s="82" t="n">
        <x:v>65</x:v>
      </x:c>
      <x:c r="K131" s="82" t="n">
        <x:v>125</x:v>
      </x:c>
      <x:c r="L131" s="82" t="n">
        <x:v>100</x:v>
      </x:c>
      <x:c r="M131" s="82" t="n">
        <x:v>55</x:v>
      </x:c>
      <x:c r="N131" s="82" t="n">
        <x:v>70</x:v>
      </x:c>
      <x:c r="O131" s="82" t="n">
        <x:v>85</x:v>
      </x:c>
      <x:c r="P131" s="82" t="str">
        <x:v>Sim</x:v>
      </x:c>
      <x:c r="Q131" s="82" t="str">
        <x:v>Não</x:v>
      </x:c>
      <x:c r="R131" s="82" t="str">
        <x:v>Rankeado</x:v>
      </x:c>
      <x:c r="S131" s="82" t="str">
        <x:v>https://poke.idleworld.online/pokepedia/pokemon/pinsir</x:v>
      </x:c>
      <x:c r="T131" s="143" t="n">
        <x:f>MAX(K131,M131)*Metodologia!$B$16</x:f>
        <x:v>162.5</x:v>
      </x:c>
      <x:c r="U131" s="143" t="n">
        <x:f>MIN(K131,M131)*Metodologia!$B$16</x:f>
        <x:v>71.5</x:v>
      </x:c>
      <x:c r="V131" s="144" t="n">
        <x:f>SQRT(J131*AVERAGE(L131,N131)*Metodologia!$B$16)</x:f>
        <x:v>84.74963126763443</x:v>
      </x:c>
    </x:row>
    <x:row r="132" ht="22" customHeight="1">
      <x:c r="A132" s="82" t="n">
        <x:v>128</x:v>
      </x:c>
      <x:c r="B132" s="82" t="str">
        <x:v>Tauros</x:v>
      </x:c>
      <x:c r="C132" s="82" t="str">
        <x:v>Normal</x:v>
      </x:c>
      <x:c r="D132" s="82" t="str">
        <x:v>Gardestrike</x:v>
      </x:c>
      <x:c r="E132" s="82" t="n">
        <x:v>1</x:v>
      </x:c>
      <x:c r="F132" s="82" t="str">
        <x:f>IF(G132&gt;=80,"S+",IF(G132&gt;=72,"S",IF(G132&gt;=65,"A",IF(G132&gt;=58,"B",IF(G132&gt;=50,"C",IF(G132&gt;=42,"D","E"))))))</x:f>
        <x:v>B</x:v>
      </x:c>
      <x:c r="G132" s="142" t="n">
        <x:f>ROUND(100*(Metodologia!$B$17*(T132/Metodologia!$B$22)+Metodologia!$B$18*(U132/Metodologia!$B$23)+Metodologia!$B$19*(V132/Metodologia!$B$24)+Metodologia!$B$20*(O132/Metodologia!$B$25)+Metodologia!$B$21*(I132/Metodologia!$B$26)),2)</x:f>
        <x:v>62.21</x:v>
      </x:c>
      <x:c r="H132" s="82" t="n">
        <x:f>IF(R132&lt;&gt;"Rankeado","",COUNTIFS($R$5:$R$255,"Rankeado",$G$5:$G$255,"&gt;"&amp;G132)+COUNTIFS($R$5:R132,"Rankeado",$G$5:G132,G132))</x:f>
        <x:v>53</x:v>
      </x:c>
      <x:c r="I132" s="82" t="n">
        <x:f>SUM(J132:O132)</x:f>
        <x:v>490</x:v>
      </x:c>
      <x:c r="J132" s="82" t="n">
        <x:v>75</x:v>
      </x:c>
      <x:c r="K132" s="82" t="n">
        <x:v>100</x:v>
      </x:c>
      <x:c r="L132" s="82" t="n">
        <x:v>95</x:v>
      </x:c>
      <x:c r="M132" s="82" t="n">
        <x:v>40</x:v>
      </x:c>
      <x:c r="N132" s="82" t="n">
        <x:v>70</x:v>
      </x:c>
      <x:c r="O132" s="82" t="n">
        <x:v>110</x:v>
      </x:c>
      <x:c r="P132" s="82" t="str">
        <x:v>Sim</x:v>
      </x:c>
      <x:c r="Q132" s="82" t="str">
        <x:v>Não</x:v>
      </x:c>
      <x:c r="R132" s="82" t="str">
        <x:v>Rankeado</x:v>
      </x:c>
      <x:c r="S132" s="82" t="str">
        <x:v>https://poke.idleworld.online/pokepedia/pokemon/tauros</x:v>
      </x:c>
      <x:c r="T132" s="143" t="n">
        <x:f>MAX(K132,M132)*Metodologia!$B$16</x:f>
        <x:v>130</x:v>
      </x:c>
      <x:c r="U132" s="143" t="n">
        <x:f>MIN(K132,M132)*Metodologia!$B$16</x:f>
        <x:v>52</x:v>
      </x:c>
      <x:c r="V132" s="144" t="n">
        <x:f>SQRT(J132*AVERAGE(L132,N132)*Metodologia!$B$16)</x:f>
        <x:v>89.68695557326049</x:v>
      </x:c>
    </x:row>
    <x:row r="133" ht="22" customHeight="1">
      <x:c r="A133" s="82" t="n">
        <x:v>129</x:v>
      </x:c>
      <x:c r="B133" s="82" t="str">
        <x:v>Magikarp</x:v>
      </x:c>
      <x:c r="C133" s="82" t="str">
        <x:v>Água</x:v>
      </x:c>
      <x:c r="D133" s="82" t="str">
        <x:v>Seavell</x:v>
      </x:c>
      <x:c r="E133" s="82" t="n">
        <x:v>1</x:v>
      </x:c>
      <x:c r="F133" s="82" t="str">
        <x:f>IF(G133&gt;=80,"S+",IF(G133&gt;=72,"S",IF(G133&gt;=65,"A",IF(G133&gt;=58,"B",IF(G133&gt;=50,"C",IF(G133&gt;=42,"D","E"))))))</x:f>
        <x:v>E</x:v>
      </x:c>
      <x:c r="G133" s="142" t="n">
        <x:f>ROUND(100*(Metodologia!$B$17*(T133/Metodologia!$B$22)+Metodologia!$B$18*(U133/Metodologia!$B$23)+Metodologia!$B$19*(V133/Metodologia!$B$24)+Metodologia!$B$20*(O133/Metodologia!$B$25)+Metodologia!$B$21*(I133/Metodologia!$B$26)),2)</x:f>
        <x:v>16.58</x:v>
      </x:c>
      <x:c r="H133" s="82" t="n">
        <x:f>IF(R133&lt;&gt;"Rankeado","",COUNTIFS($R$5:$R$255,"Rankeado",$G$5:$G$255,"&gt;"&amp;G133)+COUNTIFS($R$5:R133,"Rankeado",$G$5:G133,G133))</x:f>
        <x:v>239</x:v>
      </x:c>
      <x:c r="I133" s="82" t="n">
        <x:f>SUM(J133:O133)</x:f>
        <x:v>200</x:v>
      </x:c>
      <x:c r="J133" s="82" t="n">
        <x:v>20</x:v>
      </x:c>
      <x:c r="K133" s="82" t="n">
        <x:v>10</x:v>
      </x:c>
      <x:c r="L133" s="82" t="n">
        <x:v>55</x:v>
      </x:c>
      <x:c r="M133" s="82" t="n">
        <x:v>15</x:v>
      </x:c>
      <x:c r="N133" s="82" t="n">
        <x:v>20</x:v>
      </x:c>
      <x:c r="O133" s="82" t="n">
        <x:v>80</x:v>
      </x:c>
      <x:c r="P133" s="82" t="str">
        <x:v>Não</x:v>
      </x:c>
      <x:c r="Q133" s="82" t="str">
        <x:v>Não</x:v>
      </x:c>
      <x:c r="R133" s="82" t="str">
        <x:v>Rankeado</x:v>
      </x:c>
      <x:c r="S133" s="82" t="str">
        <x:v>https://poke.idleworld.online/pokepedia/pokemon/magikarp</x:v>
      </x:c>
      <x:c r="T133" s="143" t="n">
        <x:f>MAX(K133,M133)*Metodologia!$B$16</x:f>
        <x:v>19.5</x:v>
      </x:c>
      <x:c r="U133" s="143" t="n">
        <x:f>MIN(K133,M133)*Metodologia!$B$16</x:f>
        <x:v>13</x:v>
      </x:c>
      <x:c r="V133" s="144" t="n">
        <x:f>SQRT(J133*AVERAGE(L133,N133)*Metodologia!$B$16)</x:f>
        <x:v>31.22498999199199</x:v>
      </x:c>
    </x:row>
    <x:row r="134" ht="22" customHeight="1">
      <x:c r="A134" s="82" t="n">
        <x:v>130</x:v>
      </x:c>
      <x:c r="B134" s="82" t="str">
        <x:v>Gyarados</x:v>
      </x:c>
      <x:c r="C134" s="82" t="str">
        <x:v>Água / Voador</x:v>
      </x:c>
      <x:c r="D134" s="82" t="str">
        <x:v>Wingeon / Seavell</x:v>
      </x:c>
      <x:c r="E134" s="82" t="n">
        <x:v>2</x:v>
      </x:c>
      <x:c r="F134" s="82" t="str">
        <x:f>IF(G134&gt;=80,"S+",IF(G134&gt;=72,"S",IF(G134&gt;=65,"A",IF(G134&gt;=58,"B",IF(G134&gt;=50,"C",IF(G134&gt;=42,"D","E"))))))</x:f>
        <x:v>S</x:v>
      </x:c>
      <x:c r="G134" s="142" t="n">
        <x:f>ROUND(100*(Metodologia!$B$17*(T134/Metodologia!$B$22)+Metodologia!$B$18*(U134/Metodologia!$B$23)+Metodologia!$B$19*(V134/Metodologia!$B$24)+Metodologia!$B$20*(O134/Metodologia!$B$25)+Metodologia!$B$21*(I134/Metodologia!$B$26)),2)</x:f>
        <x:v>73.7</x:v>
      </x:c>
      <x:c r="H134" s="82" t="n">
        <x:f>IF(R134&lt;&gt;"Rankeado","",COUNTIFS($R$5:$R$255,"Rankeado",$G$5:$G$255,"&gt;"&amp;G134)+COUNTIFS($R$5:R134,"Rankeado",$G$5:G134,G134))</x:f>
        <x:v>9</x:v>
      </x:c>
      <x:c r="I134" s="82" t="n">
        <x:f>SUM(J134:O134)</x:f>
        <x:v>540</x:v>
      </x:c>
      <x:c r="J134" s="82" t="n">
        <x:v>95</x:v>
      </x:c>
      <x:c r="K134" s="82" t="n">
        <x:v>125</x:v>
      </x:c>
      <x:c r="L134" s="82" t="n">
        <x:v>79</x:v>
      </x:c>
      <x:c r="M134" s="82" t="n">
        <x:v>60</x:v>
      </x:c>
      <x:c r="N134" s="82" t="n">
        <x:v>100</x:v>
      </x:c>
      <x:c r="O134" s="82" t="n">
        <x:v>81</x:v>
      </x:c>
      <x:c r="P134" s="82" t="str">
        <x:v>Sim</x:v>
      </x:c>
      <x:c r="Q134" s="82" t="str">
        <x:v>Não</x:v>
      </x:c>
      <x:c r="R134" s="82" t="str">
        <x:v>Rankeado</x:v>
      </x:c>
      <x:c r="S134" s="82" t="str">
        <x:v>https://poke.idleworld.online/pokepedia/pokemon/gyarados</x:v>
      </x:c>
      <x:c r="T134" s="143" t="n">
        <x:f>MAX(K134,M134)*Metodologia!$B$16</x:f>
        <x:v>162.5</x:v>
      </x:c>
      <x:c r="U134" s="143" t="n">
        <x:f>MIN(K134,M134)*Metodologia!$B$16</x:f>
        <x:v>78</x:v>
      </x:c>
      <x:c r="V134" s="144" t="n">
        <x:f>SQRT(J134*AVERAGE(L134,N134)*Metodologia!$B$16)</x:f>
        <x:v>105.13443774520317</x:v>
      </x:c>
    </x:row>
    <x:row r="135" ht="22" customHeight="1">
      <x:c r="A135" s="82" t="n">
        <x:v>131</x:v>
      </x:c>
      <x:c r="B135" s="82" t="str">
        <x:v>Lapras</x:v>
      </x:c>
      <x:c r="C135" s="82" t="str">
        <x:v>Água / Gelo</x:v>
      </x:c>
      <x:c r="D135" s="82" t="str">
        <x:v>Seavell</x:v>
      </x:c>
      <x:c r="E135" s="82" t="n">
        <x:v>1</x:v>
      </x:c>
      <x:c r="F135" s="82" t="str">
        <x:f>IF(G135&gt;=80,"S+",IF(G135&gt;=72,"S",IF(G135&gt;=65,"A",IF(G135&gt;=58,"B",IF(G135&gt;=50,"C",IF(G135&gt;=42,"D","E"))))))</x:f>
        <x:v>B</x:v>
      </x:c>
      <x:c r="G135" s="142" t="n">
        <x:f>ROUND(100*(Metodologia!$B$17*(T135/Metodologia!$B$22)+Metodologia!$B$18*(U135/Metodologia!$B$23)+Metodologia!$B$19*(V135/Metodologia!$B$24)+Metodologia!$B$20*(O135/Metodologia!$B$25)+Metodologia!$B$21*(I135/Metodologia!$B$26)),2)</x:f>
        <x:v>60.54</x:v>
      </x:c>
      <x:c r="H135" s="82" t="n">
        <x:f>IF(R135&lt;&gt;"Rankeado","",COUNTIFS($R$5:$R$255,"Rankeado",$G$5:$G$255,"&gt;"&amp;G135)+COUNTIFS($R$5:R135,"Rankeado",$G$5:G135,G135))</x:f>
        <x:v>64</x:v>
      </x:c>
      <x:c r="I135" s="82" t="n">
        <x:f>SUM(J135:O135)</x:f>
        <x:v>535</x:v>
      </x:c>
      <x:c r="J135" s="82" t="n">
        <x:v>130</x:v>
      </x:c>
      <x:c r="K135" s="82" t="n">
        <x:v>85</x:v>
      </x:c>
      <x:c r="L135" s="82" t="n">
        <x:v>80</x:v>
      </x:c>
      <x:c r="M135" s="82" t="n">
        <x:v>85</x:v>
      </x:c>
      <x:c r="N135" s="82" t="n">
        <x:v>95</x:v>
      </x:c>
      <x:c r="O135" s="82" t="n">
        <x:v>60</x:v>
      </x:c>
      <x:c r="P135" s="82" t="str">
        <x:v>Sim</x:v>
      </x:c>
      <x:c r="Q135" s="82" t="str">
        <x:v>Não</x:v>
      </x:c>
      <x:c r="R135" s="82" t="str">
        <x:v>Rankeado</x:v>
      </x:c>
      <x:c r="S135" s="82" t="str">
        <x:v>https://poke.idleworld.online/pokepedia/pokemon/lapras</x:v>
      </x:c>
      <x:c r="T135" s="143" t="n">
        <x:f>MAX(K135,M135)*Metodologia!$B$16</x:f>
        <x:v>110.5</x:v>
      </x:c>
      <x:c r="U135" s="143" t="n">
        <x:f>MIN(K135,M135)*Metodologia!$B$16</x:f>
        <x:v>110.5</x:v>
      </x:c>
      <x:c r="V135" s="144" t="n">
        <x:f>SQRT(J135*AVERAGE(L135,N135)*Metodologia!$B$16)</x:f>
        <x:v>121.60386507015309</x:v>
      </x:c>
    </x:row>
    <x:row r="136" ht="22" customHeight="1">
      <x:c r="A136" s="82" t="n">
        <x:v>132</x:v>
      </x:c>
      <x:c r="B136" s="82" t="str">
        <x:v>Ditto</x:v>
      </x:c>
      <x:c r="C136" s="82" t="str">
        <x:v>Normal</x:v>
      </x:c>
      <x:c r="D136" s="82" t="str">
        <x:v>Gardestrike</x:v>
      </x:c>
      <x:c r="E136" s="82" t="n">
        <x:v>1</x:v>
      </x:c>
      <x:c r="F136" s="82" t="str">
        <x:f>IF(G136&gt;=80,"S+",IF(G136&gt;=72,"S",IF(G136&gt;=65,"A",IF(G136&gt;=58,"B",IF(G136&gt;=50,"C",IF(G136&gt;=42,"D","E"))))))</x:f>
        <x:v>E</x:v>
      </x:c>
      <x:c r="G136" s="142" t="n">
        <x:f>ROUND(100*(Metodologia!$B$17*(T136/Metodologia!$B$22)+Metodologia!$B$18*(U136/Metodologia!$B$23)+Metodologia!$B$19*(V136/Metodologia!$B$24)+Metodologia!$B$20*(O136/Metodologia!$B$25)+Metodologia!$B$21*(I136/Metodologia!$B$26)),2)</x:f>
        <x:v>33.68</x:v>
      </x:c>
      <x:c r="H136" s="82" t="n">
        <x:f>IF(R136&lt;&gt;"Rankeado","",COUNTIFS($R$5:$R$255,"Rankeado",$G$5:$G$255,"&gt;"&amp;G136)+COUNTIFS($R$5:R136,"Rankeado",$G$5:G136,G136))</x:f>
        <x:v>213</x:v>
      </x:c>
      <x:c r="I136" s="82" t="n">
        <x:f>SUM(J136:O136)</x:f>
        <x:v>288</x:v>
      </x:c>
      <x:c r="J136" s="82" t="n">
        <x:v>48</x:v>
      </x:c>
      <x:c r="K136" s="82" t="n">
        <x:v>48</x:v>
      </x:c>
      <x:c r="L136" s="82" t="n">
        <x:v>48</x:v>
      </x:c>
      <x:c r="M136" s="82" t="n">
        <x:v>48</x:v>
      </x:c>
      <x:c r="N136" s="82" t="n">
        <x:v>48</x:v>
      </x:c>
      <x:c r="O136" s="82" t="n">
        <x:v>48</x:v>
      </x:c>
      <x:c r="P136" s="82" t="str">
        <x:v>Não</x:v>
      </x:c>
      <x:c r="Q136" s="82" t="str">
        <x:v>Não</x:v>
      </x:c>
      <x:c r="R136" s="82" t="str">
        <x:v>Rankeado</x:v>
      </x:c>
      <x:c r="S136" s="82" t="str">
        <x:v>https://poke.idleworld.online/pokepedia/pokemon/ditto</x:v>
      </x:c>
      <x:c r="T136" s="143" t="n">
        <x:f>MAX(K136,M136)*Metodologia!$B$16</x:f>
        <x:v>62.400000000000006</x:v>
      </x:c>
      <x:c r="U136" s="143" t="n">
        <x:f>MIN(K136,M136)*Metodologia!$B$16</x:f>
        <x:v>62.400000000000006</x:v>
      </x:c>
      <x:c r="V136" s="144" t="n">
        <x:f>SQRT(J136*AVERAGE(L136,N136)*Metodologia!$B$16)</x:f>
        <x:v>54.72842040475862</x:v>
      </x:c>
    </x:row>
    <x:row r="137" ht="22" customHeight="1">
      <x:c r="A137" s="82" t="n">
        <x:v>133</x:v>
      </x:c>
      <x:c r="B137" s="82" t="str">
        <x:v>Eevee</x:v>
      </x:c>
      <x:c r="C137" s="82" t="str">
        <x:v>Normal</x:v>
      </x:c>
      <x:c r="D137" s="82" t="str">
        <x:v>Gardestrike</x:v>
      </x:c>
      <x:c r="E137" s="82" t="n">
        <x:v>1</x:v>
      </x:c>
      <x:c r="F137" s="82" t="str">
        <x:f>IF(G137&gt;=80,"S+",IF(G137&gt;=72,"S",IF(G137&gt;=65,"A",IF(G137&gt;=58,"B",IF(G137&gt;=50,"C",IF(G137&gt;=42,"D","E"))))))</x:f>
        <x:v>E</x:v>
      </x:c>
      <x:c r="G137" s="142" t="n">
        <x:f>ROUND(100*(Metodologia!$B$17*(T137/Metodologia!$B$22)+Metodologia!$B$18*(U137/Metodologia!$B$23)+Metodologia!$B$19*(V137/Metodologia!$B$24)+Metodologia!$B$20*(O137/Metodologia!$B$25)+Metodologia!$B$21*(I137/Metodologia!$B$26)),2)</x:f>
        <x:v>37.78</x:v>
      </x:c>
      <x:c r="H137" s="82" t="n">
        <x:f>IF(R137&lt;&gt;"Rankeado","",COUNTIFS($R$5:$R$255,"Rankeado",$G$5:$G$255,"&gt;"&amp;G137)+COUNTIFS($R$5:R137,"Rankeado",$G$5:G137,G137))</x:f>
        <x:v>195</x:v>
      </x:c>
      <x:c r="I137" s="82" t="n">
        <x:f>SUM(J137:O137)</x:f>
        <x:v>325</x:v>
      </x:c>
      <x:c r="J137" s="82" t="n">
        <x:v>55</x:v>
      </x:c>
      <x:c r="K137" s="82" t="n">
        <x:v>55</x:v>
      </x:c>
      <x:c r="L137" s="82" t="n">
        <x:v>50</x:v>
      </x:c>
      <x:c r="M137" s="82" t="n">
        <x:v>45</x:v>
      </x:c>
      <x:c r="N137" s="82" t="n">
        <x:v>65</x:v>
      </x:c>
      <x:c r="O137" s="82" t="n">
        <x:v>55</x:v>
      </x:c>
      <x:c r="P137" s="82" t="str">
        <x:v>Não</x:v>
      </x:c>
      <x:c r="Q137" s="82" t="str">
        <x:v>Não</x:v>
      </x:c>
      <x:c r="R137" s="82" t="str">
        <x:v>Rankeado</x:v>
      </x:c>
      <x:c r="S137" s="82" t="str">
        <x:v>https://poke.idleworld.online/pokepedia/pokemon/eevee</x:v>
      </x:c>
      <x:c r="T137" s="143" t="n">
        <x:f>MAX(K137,M137)*Metodologia!$B$16</x:f>
        <x:v>71.5</x:v>
      </x:c>
      <x:c r="U137" s="143" t="n">
        <x:f>MIN(K137,M137)*Metodologia!$B$16</x:f>
        <x:v>58.5</x:v>
      </x:c>
      <x:c r="V137" s="144" t="n">
        <x:f>SQRT(J137*AVERAGE(L137,N137)*Metodologia!$B$16)</x:f>
        <x:v>64.1190299365173</x:v>
      </x:c>
    </x:row>
    <x:row r="138" ht="22" customHeight="1">
      <x:c r="A138" s="82" t="n">
        <x:v>134</x:v>
      </x:c>
      <x:c r="B138" s="82" t="str">
        <x:v>Vaporeon</x:v>
      </x:c>
      <x:c r="C138" s="82" t="str">
        <x:v>Água</x:v>
      </x:c>
      <x:c r="D138" s="82" t="str">
        <x:v>Seavell</x:v>
      </x:c>
      <x:c r="E138" s="82" t="n">
        <x:v>1</x:v>
      </x:c>
      <x:c r="F138" s="82" t="str">
        <x:f>IF(G138&gt;=80,"S+",IF(G138&gt;=72,"S",IF(G138&gt;=65,"A",IF(G138&gt;=58,"B",IF(G138&gt;=50,"C",IF(G138&gt;=42,"D","E"))))))</x:f>
        <x:v>A</x:v>
      </x:c>
      <x:c r="G138" s="142" t="n">
        <x:f>ROUND(100*(Metodologia!$B$17*(T138/Metodologia!$B$22)+Metodologia!$B$18*(U138/Metodologia!$B$23)+Metodologia!$B$19*(V138/Metodologia!$B$24)+Metodologia!$B$20*(O138/Metodologia!$B$25)+Metodologia!$B$21*(I138/Metodologia!$B$26)),2)</x:f>
        <x:v>68.03</x:v>
      </x:c>
      <x:c r="H138" s="82" t="n">
        <x:f>IF(R138&lt;&gt;"Rankeado","",COUNTIFS($R$5:$R$255,"Rankeado",$G$5:$G$255,"&gt;"&amp;G138)+COUNTIFS($R$5:R138,"Rankeado",$G$5:G138,G138))</x:f>
        <x:v>24</x:v>
      </x:c>
      <x:c r="I138" s="82" t="n">
        <x:f>SUM(J138:O138)</x:f>
        <x:v>525</x:v>
      </x:c>
      <x:c r="J138" s="82" t="n">
        <x:v>130</x:v>
      </x:c>
      <x:c r="K138" s="82" t="n">
        <x:v>65</x:v>
      </x:c>
      <x:c r="L138" s="82" t="n">
        <x:v>60</x:v>
      </x:c>
      <x:c r="M138" s="82" t="n">
        <x:v>110</x:v>
      </x:c>
      <x:c r="N138" s="82" t="n">
        <x:v>95</x:v>
      </x:c>
      <x:c r="O138" s="82" t="n">
        <x:v>65</x:v>
      </x:c>
      <x:c r="P138" s="82" t="str">
        <x:v>Não</x:v>
      </x:c>
      <x:c r="Q138" s="82" t="str">
        <x:v>Não</x:v>
      </x:c>
      <x:c r="R138" s="82" t="str">
        <x:v>Rankeado</x:v>
      </x:c>
      <x:c r="S138" s="82" t="str">
        <x:v>https://poke.idleworld.online/pokepedia/pokemon/vaporeon</x:v>
      </x:c>
      <x:c r="T138" s="143" t="n">
        <x:f>MAX(K138,M138)*Metodologia!$B$16</x:f>
        <x:v>143</x:v>
      </x:c>
      <x:c r="U138" s="143" t="n">
        <x:f>MIN(K138,M138)*Metodologia!$B$16</x:f>
        <x:v>84.5</x:v>
      </x:c>
      <x:c r="V138" s="144" t="n">
        <x:f>SQRT(J138*AVERAGE(L138,N138)*Metodologia!$B$16)</x:f>
        <x:v>114.44430960078355</x:v>
      </x:c>
    </x:row>
    <x:row r="139" ht="22" customHeight="1">
      <x:c r="A139" s="82" t="n">
        <x:v>135</x:v>
      </x:c>
      <x:c r="B139" s="82" t="str">
        <x:v>Jolteon</x:v>
      </x:c>
      <x:c r="C139" s="82" t="str">
        <x:v>Elétrico</x:v>
      </x:c>
      <x:c r="D139" s="82" t="str">
        <x:v>Raibolt</x:v>
      </x:c>
      <x:c r="E139" s="82" t="n">
        <x:v>1</x:v>
      </x:c>
      <x:c r="F139" s="82" t="str">
        <x:f>IF(G139&gt;=80,"S+",IF(G139&gt;=72,"S",IF(G139&gt;=65,"A",IF(G139&gt;=58,"B",IF(G139&gt;=50,"C",IF(G139&gt;=42,"D","E"))))))</x:f>
        <x:v>A</x:v>
      </x:c>
      <x:c r="G139" s="142" t="n">
        <x:f>ROUND(100*(Metodologia!$B$17*(T139/Metodologia!$B$22)+Metodologia!$B$18*(U139/Metodologia!$B$23)+Metodologia!$B$19*(V139/Metodologia!$B$24)+Metodologia!$B$20*(O139/Metodologia!$B$25)+Metodologia!$B$21*(I139/Metodologia!$B$26)),2)</x:f>
        <x:v>69.12</x:v>
      </x:c>
      <x:c r="H139" s="82" t="n">
        <x:f>IF(R139&lt;&gt;"Rankeado","",COUNTIFS($R$5:$R$255,"Rankeado",$G$5:$G$255,"&gt;"&amp;G139)+COUNTIFS($R$5:R139,"Rankeado",$G$5:G139,G139))</x:f>
        <x:v>20</x:v>
      </x:c>
      <x:c r="I139" s="82" t="n">
        <x:f>SUM(J139:O139)</x:f>
        <x:v>525</x:v>
      </x:c>
      <x:c r="J139" s="82" t="n">
        <x:v>65</x:v>
      </x:c>
      <x:c r="K139" s="82" t="n">
        <x:v>65</x:v>
      </x:c>
      <x:c r="L139" s="82" t="n">
        <x:v>60</x:v>
      </x:c>
      <x:c r="M139" s="82" t="n">
        <x:v>110</x:v>
      </x:c>
      <x:c r="N139" s="82" t="n">
        <x:v>95</x:v>
      </x:c>
      <x:c r="O139" s="82" t="n">
        <x:v>130</x:v>
      </x:c>
      <x:c r="P139" s="82" t="str">
        <x:v>Não</x:v>
      </x:c>
      <x:c r="Q139" s="82" t="str">
        <x:v>Não</x:v>
      </x:c>
      <x:c r="R139" s="82" t="str">
        <x:v>Rankeado</x:v>
      </x:c>
      <x:c r="S139" s="82" t="str">
        <x:v>https://poke.idleworld.online/pokepedia/pokemon/jolteon</x:v>
      </x:c>
      <x:c r="T139" s="143" t="n">
        <x:f>MAX(K139,M139)*Metodologia!$B$16</x:f>
        <x:v>143</x:v>
      </x:c>
      <x:c r="U139" s="143" t="n">
        <x:f>MIN(K139,M139)*Metodologia!$B$16</x:f>
        <x:v>84.5</x:v>
      </x:c>
      <x:c r="V139" s="144" t="n">
        <x:f>SQRT(J139*AVERAGE(L139,N139)*Metodologia!$B$16)</x:f>
        <x:v>80.92434738692675</x:v>
      </x:c>
    </x:row>
    <x:row r="140" ht="22" customHeight="1">
      <x:c r="A140" s="82" t="n">
        <x:v>136</x:v>
      </x:c>
      <x:c r="B140" s="82" t="str">
        <x:v>Flareon</x:v>
      </x:c>
      <x:c r="C140" s="82" t="str">
        <x:v>Fogo</x:v>
      </x:c>
      <x:c r="D140" s="82" t="str">
        <x:v>Volcanic</x:v>
      </x:c>
      <x:c r="E140" s="82" t="n">
        <x:v>1</x:v>
      </x:c>
      <x:c r="F140" s="82" t="str">
        <x:f>IF(G140&gt;=80,"S+",IF(G140&gt;=72,"S",IF(G140&gt;=65,"A",IF(G140&gt;=58,"B",IF(G140&gt;=50,"C",IF(G140&gt;=42,"D","E"))))))</x:f>
        <x:v>S</x:v>
      </x:c>
      <x:c r="G140" s="142" t="n">
        <x:f>ROUND(100*(Metodologia!$B$17*(T140/Metodologia!$B$22)+Metodologia!$B$18*(U140/Metodologia!$B$23)+Metodologia!$B$19*(V140/Metodologia!$B$24)+Metodologia!$B$20*(O140/Metodologia!$B$25)+Metodologia!$B$21*(I140/Metodologia!$B$26)),2)</x:f>
        <x:v>75.68</x:v>
      </x:c>
      <x:c r="H140" s="82" t="n">
        <x:f>IF(R140&lt;&gt;"Rankeado","",COUNTIFS($R$5:$R$255,"Rankeado",$G$5:$G$255,"&gt;"&amp;G140)+COUNTIFS($R$5:R140,"Rankeado",$G$5:G140,G140))</x:f>
        <x:v>3</x:v>
      </x:c>
      <x:c r="I140" s="82" t="n">
        <x:f>SUM(J140:O140)</x:f>
        <x:v>525</x:v>
      </x:c>
      <x:c r="J140" s="82" t="n">
        <x:v>65</x:v>
      </x:c>
      <x:c r="K140" s="82" t="n">
        <x:v>130</x:v>
      </x:c>
      <x:c r="L140" s="82" t="n">
        <x:v>60</x:v>
      </x:c>
      <x:c r="M140" s="82" t="n">
        <x:v>95</x:v>
      </x:c>
      <x:c r="N140" s="82" t="n">
        <x:v>110</x:v>
      </x:c>
      <x:c r="O140" s="82" t="n">
        <x:v>65</x:v>
      </x:c>
      <x:c r="P140" s="82" t="str">
        <x:v>Não</x:v>
      </x:c>
      <x:c r="Q140" s="82" t="str">
        <x:v>Não</x:v>
      </x:c>
      <x:c r="R140" s="82" t="str">
        <x:v>Rankeado</x:v>
      </x:c>
      <x:c r="S140" s="82" t="str">
        <x:v>https://poke.idleworld.online/pokepedia/pokemon/flareon</x:v>
      </x:c>
      <x:c r="T140" s="143" t="n">
        <x:f>MAX(K140,M140)*Metodologia!$B$16</x:f>
        <x:v>169</x:v>
      </x:c>
      <x:c r="U140" s="143" t="n">
        <x:f>MIN(K140,M140)*Metodologia!$B$16</x:f>
        <x:v>123.5</x:v>
      </x:c>
      <x:c r="V140" s="144" t="n">
        <x:f>SQRT(J140*AVERAGE(L140,N140)*Metodologia!$B$16)</x:f>
        <x:v>84.74963126763443</x:v>
      </x:c>
    </x:row>
    <x:row r="141" ht="22" customHeight="1">
      <x:c r="A141" s="82" t="n">
        <x:v>137</x:v>
      </x:c>
      <x:c r="B141" s="82" t="str">
        <x:v>Porygon</x:v>
      </x:c>
      <x:c r="C141" s="82" t="str">
        <x:v>Normal</x:v>
      </x:c>
      <x:c r="D141" s="82" t="str">
        <x:v>Gardestrike</x:v>
      </x:c>
      <x:c r="E141" s="82" t="n">
        <x:v>1</x:v>
      </x:c>
      <x:c r="F141" s="82" t="str">
        <x:f>IF(G141&gt;=80,"S+",IF(G141&gt;=72,"S",IF(G141&gt;=65,"A",IF(G141&gt;=58,"B",IF(G141&gt;=50,"C",IF(G141&gt;=42,"D","E"))))))</x:f>
        <x:v>C</x:v>
      </x:c>
      <x:c r="G141" s="142" t="n">
        <x:f>ROUND(100*(Metodologia!$B$17*(T141/Metodologia!$B$22)+Metodologia!$B$18*(U141/Metodologia!$B$23)+Metodologia!$B$19*(V141/Metodologia!$B$24)+Metodologia!$B$20*(O141/Metodologia!$B$25)+Metodologia!$B$21*(I141/Metodologia!$B$26)),2)</x:f>
        <x:v>51.72</x:v>
      </x:c>
      <x:c r="H141" s="82" t="n">
        <x:f>IF(R141&lt;&gt;"Rankeado","",COUNTIFS($R$5:$R$255,"Rankeado",$G$5:$G$255,"&gt;"&amp;G141)+COUNTIFS($R$5:R141,"Rankeado",$G$5:G141,G141))</x:f>
        <x:v>124</x:v>
      </x:c>
      <x:c r="I141" s="82" t="n">
        <x:f>SUM(J141:O141)</x:f>
        <x:v>395</x:v>
      </x:c>
      <x:c r="J141" s="82" t="n">
        <x:v>65</x:v>
      </x:c>
      <x:c r="K141" s="82" t="n">
        <x:v>60</x:v>
      </x:c>
      <x:c r="L141" s="82" t="n">
        <x:v>70</x:v>
      </x:c>
      <x:c r="M141" s="82" t="n">
        <x:v>85</x:v>
      </x:c>
      <x:c r="N141" s="82" t="n">
        <x:v>75</x:v>
      </x:c>
      <x:c r="O141" s="82" t="n">
        <x:v>40</x:v>
      </x:c>
      <x:c r="P141" s="82" t="str">
        <x:v>Não</x:v>
      </x:c>
      <x:c r="Q141" s="82" t="str">
        <x:v>Não</x:v>
      </x:c>
      <x:c r="R141" s="82" t="str">
        <x:v>Rankeado</x:v>
      </x:c>
      <x:c r="S141" s="82" t="str">
        <x:v>https://poke.idleworld.online/pokepedia/pokemon/porygon</x:v>
      </x:c>
      <x:c r="T141" s="143" t="n">
        <x:f>MAX(K141,M141)*Metodologia!$B$16</x:f>
        <x:v>110.5</x:v>
      </x:c>
      <x:c r="U141" s="143" t="n">
        <x:f>MIN(K141,M141)*Metodologia!$B$16</x:f>
        <x:v>78</x:v>
      </x:c>
      <x:c r="V141" s="144" t="n">
        <x:f>SQRT(J141*AVERAGE(L141,N141)*Metodologia!$B$16)</x:f>
        <x:v>78.27036476214992</x:v>
      </x:c>
    </x:row>
    <x:row r="142" ht="22" customHeight="1">
      <x:c r="A142" s="82" t="n">
        <x:v>138</x:v>
      </x:c>
      <x:c r="B142" s="82" t="str">
        <x:v>Omanyte</x:v>
      </x:c>
      <x:c r="C142" s="82" t="str">
        <x:v>Pedra / Água</x:v>
      </x:c>
      <x:c r="D142" s="82" t="str">
        <x:v>Orebound / Seavell</x:v>
      </x:c>
      <x:c r="E142" s="82" t="n">
        <x:v>2</x:v>
      </x:c>
      <x:c r="F142" s="82" t="str">
        <x:f>IF(G142&gt;=80,"S+",IF(G142&gt;=72,"S",IF(G142&gt;=65,"A",IF(G142&gt;=58,"B",IF(G142&gt;=50,"C",IF(G142&gt;=42,"D","E"))))))</x:f>
        <x:v>D</x:v>
      </x:c>
      <x:c r="G142" s="142" t="n">
        <x:f>ROUND(100*(Metodologia!$B$17*(T142/Metodologia!$B$22)+Metodologia!$B$18*(U142/Metodologia!$B$23)+Metodologia!$B$19*(V142/Metodologia!$B$24)+Metodologia!$B$20*(O142/Metodologia!$B$25)+Metodologia!$B$21*(I142/Metodologia!$B$26)),2)</x:f>
        <x:v>49.39</x:v>
      </x:c>
      <x:c r="H142" s="82" t="n">
        <x:f>IF(R142&lt;&gt;"Rankeado","",COUNTIFS($R$5:$R$255,"Rankeado",$G$5:$G$255,"&gt;"&amp;G142)+COUNTIFS($R$5:R142,"Rankeado",$G$5:G142,G142))</x:f>
        <x:v>135</x:v>
      </x:c>
      <x:c r="I142" s="82" t="n">
        <x:f>SUM(J142:O142)</x:f>
        <x:v>355</x:v>
      </x:c>
      <x:c r="J142" s="82" t="n">
        <x:v>35</x:v>
      </x:c>
      <x:c r="K142" s="82" t="n">
        <x:v>40</x:v>
      </x:c>
      <x:c r="L142" s="82" t="n">
        <x:v>100</x:v>
      </x:c>
      <x:c r="M142" s="82" t="n">
        <x:v>90</x:v>
      </x:c>
      <x:c r="N142" s="82" t="n">
        <x:v>55</x:v>
      </x:c>
      <x:c r="O142" s="82" t="n">
        <x:v>35</x:v>
      </x:c>
      <x:c r="P142" s="82" t="str">
        <x:v>Sim</x:v>
      </x:c>
      <x:c r="Q142" s="82" t="str">
        <x:v>Não</x:v>
      </x:c>
      <x:c r="R142" s="82" t="str">
        <x:v>Rankeado</x:v>
      </x:c>
      <x:c r="S142" s="82" t="str">
        <x:v>https://poke.idleworld.online/pokepedia/pokemon/omanyte</x:v>
      </x:c>
      <x:c r="T142" s="143" t="n">
        <x:f>MAX(K142,M142)*Metodologia!$B$16</x:f>
        <x:v>117</x:v>
      </x:c>
      <x:c r="U142" s="143" t="n">
        <x:f>MIN(K142,M142)*Metodologia!$B$16</x:f>
        <x:v>52</x:v>
      </x:c>
      <x:c r="V142" s="144" t="n">
        <x:f>SQRT(J142*AVERAGE(L142,N142)*Metodologia!$B$16)</x:f>
        <x:v>59.38223640113262</x:v>
      </x:c>
    </x:row>
    <x:row r="143" ht="22" customHeight="1">
      <x:c r="A143" s="82" t="n">
        <x:v>139</x:v>
      </x:c>
      <x:c r="B143" s="82" t="str">
        <x:v>Omastar</x:v>
      </x:c>
      <x:c r="C143" s="82" t="str">
        <x:v>Pedra / Água</x:v>
      </x:c>
      <x:c r="D143" s="82" t="str">
        <x:v>Orebound / Seavell</x:v>
      </x:c>
      <x:c r="E143" s="82" t="n">
        <x:v>2</x:v>
      </x:c>
      <x:c r="F143" s="82" t="str">
        <x:f>IF(G143&gt;=80,"S+",IF(G143&gt;=72,"S",IF(G143&gt;=65,"A",IF(G143&gt;=58,"B",IF(G143&gt;=50,"C",IF(G143&gt;=42,"D","E"))))))</x:f>
        <x:v>A</x:v>
      </x:c>
      <x:c r="G143" s="142" t="n">
        <x:f>ROUND(100*(Metodologia!$B$17*(T143/Metodologia!$B$22)+Metodologia!$B$18*(U143/Metodologia!$B$23)+Metodologia!$B$19*(V143/Metodologia!$B$24)+Metodologia!$B$20*(O143/Metodologia!$B$25)+Metodologia!$B$21*(I143/Metodologia!$B$26)),2)</x:f>
        <x:v>66.68</x:v>
      </x:c>
      <x:c r="H143" s="82" t="n">
        <x:f>IF(R143&lt;&gt;"Rankeado","",COUNTIFS($R$5:$R$255,"Rankeado",$G$5:$G$255,"&gt;"&amp;G143)+COUNTIFS($R$5:R143,"Rankeado",$G$5:G143,G143))</x:f>
        <x:v>32</x:v>
      </x:c>
      <x:c r="I143" s="82" t="n">
        <x:f>SUM(J143:O143)</x:f>
        <x:v>495</x:v>
      </x:c>
      <x:c r="J143" s="82" t="n">
        <x:v>70</x:v>
      </x:c>
      <x:c r="K143" s="82" t="n">
        <x:v>60</x:v>
      </x:c>
      <x:c r="L143" s="82" t="n">
        <x:v>125</x:v>
      </x:c>
      <x:c r="M143" s="82" t="n">
        <x:v>115</x:v>
      </x:c>
      <x:c r="N143" s="82" t="n">
        <x:v>70</x:v>
      </x:c>
      <x:c r="O143" s="82" t="n">
        <x:v>55</x:v>
      </x:c>
      <x:c r="P143" s="82" t="str">
        <x:v>Sim</x:v>
      </x:c>
      <x:c r="Q143" s="82" t="str">
        <x:v>Não</x:v>
      </x:c>
      <x:c r="R143" s="82" t="str">
        <x:v>Rankeado</x:v>
      </x:c>
      <x:c r="S143" s="82" t="str">
        <x:v>https://poke.idleworld.online/pokepedia/pokemon/omastar</x:v>
      </x:c>
      <x:c r="T143" s="143" t="n">
        <x:f>MAX(K143,M143)*Metodologia!$B$16</x:f>
        <x:v>149.5</x:v>
      </x:c>
      <x:c r="U143" s="143" t="n">
        <x:f>MIN(K143,M143)*Metodologia!$B$16</x:f>
        <x:v>78</x:v>
      </x:c>
      <x:c r="V143" s="144" t="n">
        <x:f>SQRT(J143*AVERAGE(L143,N143)*Metodologia!$B$16)</x:f>
        <x:v>94.19394885023135</x:v>
      </x:c>
    </x:row>
    <x:row r="144" ht="22" customHeight="1">
      <x:c r="A144" s="82" t="n">
        <x:v>140</x:v>
      </x:c>
      <x:c r="B144" s="82" t="str">
        <x:v>Kabuto</x:v>
      </x:c>
      <x:c r="C144" s="82" t="str">
        <x:v>Pedra / Água</x:v>
      </x:c>
      <x:c r="D144" s="82" t="str">
        <x:v>Orebound / Seavell</x:v>
      </x:c>
      <x:c r="E144" s="82" t="n">
        <x:v>2</x:v>
      </x:c>
      <x:c r="F144" s="82" t="str">
        <x:f>IF(G144&gt;=80,"S+",IF(G144&gt;=72,"S",IF(G144&gt;=65,"A",IF(G144&gt;=58,"B",IF(G144&gt;=50,"C",IF(G144&gt;=42,"D","E"))))))</x:f>
        <x:v>D</x:v>
      </x:c>
      <x:c r="G144" s="142" t="n">
        <x:f>ROUND(100*(Metodologia!$B$17*(T144/Metodologia!$B$22)+Metodologia!$B$18*(U144/Metodologia!$B$23)+Metodologia!$B$19*(V144/Metodologia!$B$24)+Metodologia!$B$20*(O144/Metodologia!$B$25)+Metodologia!$B$21*(I144/Metodologia!$B$26)),2)</x:f>
        <x:v>47.41</x:v>
      </x:c>
      <x:c r="H144" s="82" t="n">
        <x:f>IF(R144&lt;&gt;"Rankeado","",COUNTIFS($R$5:$R$255,"Rankeado",$G$5:$G$255,"&gt;"&amp;G144)+COUNTIFS($R$5:R144,"Rankeado",$G$5:G144,G144))</x:f>
        <x:v>143</x:v>
      </x:c>
      <x:c r="I144" s="82" t="n">
        <x:f>SUM(J144:O144)</x:f>
        <x:v>355</x:v>
      </x:c>
      <x:c r="J144" s="82" t="n">
        <x:v>30</x:v>
      </x:c>
      <x:c r="K144" s="82" t="n">
        <x:v>80</x:v>
      </x:c>
      <x:c r="L144" s="82" t="n">
        <x:v>90</x:v>
      </x:c>
      <x:c r="M144" s="82" t="n">
        <x:v>55</x:v>
      </x:c>
      <x:c r="N144" s="82" t="n">
        <x:v>45</x:v>
      </x:c>
      <x:c r="O144" s="82" t="n">
        <x:v>55</x:v>
      </x:c>
      <x:c r="P144" s="82" t="str">
        <x:v>Sim</x:v>
      </x:c>
      <x:c r="Q144" s="82" t="str">
        <x:v>Não</x:v>
      </x:c>
      <x:c r="R144" s="82" t="str">
        <x:v>Rankeado</x:v>
      </x:c>
      <x:c r="S144" s="82" t="str">
        <x:v>https://poke.idleworld.online/pokepedia/pokemon/kabuto</x:v>
      </x:c>
      <x:c r="T144" s="143" t="n">
        <x:f>MAX(K144,M144)*Metodologia!$B$16</x:f>
        <x:v>104</x:v>
      </x:c>
      <x:c r="U144" s="143" t="n">
        <x:f>MIN(K144,M144)*Metodologia!$B$16</x:f>
        <x:v>71.5</x:v>
      </x:c>
      <x:c r="V144" s="144" t="n">
        <x:f>SQRT(J144*AVERAGE(L144,N144)*Metodologia!$B$16)</x:f>
        <x:v>51.30789412946121</x:v>
      </x:c>
    </x:row>
    <x:row r="145" ht="22" customHeight="1">
      <x:c r="A145" s="82" t="n">
        <x:v>141</x:v>
      </x:c>
      <x:c r="B145" s="82" t="str">
        <x:v>Kabutops</x:v>
      </x:c>
      <x:c r="C145" s="82" t="str">
        <x:v>Pedra / Água</x:v>
      </x:c>
      <x:c r="D145" s="82" t="str">
        <x:v>Orebound / Seavell</x:v>
      </x:c>
      <x:c r="E145" s="82" t="n">
        <x:v>2</x:v>
      </x:c>
      <x:c r="F145" s="82" t="str">
        <x:f>IF(G145&gt;=80,"S+",IF(G145&gt;=72,"S",IF(G145&gt;=65,"A",IF(G145&gt;=58,"B",IF(G145&gt;=50,"C",IF(G145&gt;=42,"D","E"))))))</x:f>
        <x:v>A</x:v>
      </x:c>
      <x:c r="G145" s="142" t="n">
        <x:f>ROUND(100*(Metodologia!$B$17*(T145/Metodologia!$B$22)+Metodologia!$B$18*(U145/Metodologia!$B$23)+Metodologia!$B$19*(V145/Metodologia!$B$24)+Metodologia!$B$20*(O145/Metodologia!$B$25)+Metodologia!$B$21*(I145/Metodologia!$B$26)),2)</x:f>
        <x:v>67.68</x:v>
      </x:c>
      <x:c r="H145" s="82" t="n">
        <x:f>IF(R145&lt;&gt;"Rankeado","",COUNTIFS($R$5:$R$255,"Rankeado",$G$5:$G$255,"&gt;"&amp;G145)+COUNTIFS($R$5:R145,"Rankeado",$G$5:G145,G145))</x:f>
        <x:v>26</x:v>
      </x:c>
      <x:c r="I145" s="82" t="n">
        <x:f>SUM(J145:O145)</x:f>
        <x:v>495</x:v>
      </x:c>
      <x:c r="J145" s="82" t="n">
        <x:v>60</x:v>
      </x:c>
      <x:c r="K145" s="82" t="n">
        <x:v>115</x:v>
      </x:c>
      <x:c r="L145" s="82" t="n">
        <x:v>105</x:v>
      </x:c>
      <x:c r="M145" s="82" t="n">
        <x:v>65</x:v>
      </x:c>
      <x:c r="N145" s="82" t="n">
        <x:v>70</x:v>
      </x:c>
      <x:c r="O145" s="82" t="n">
        <x:v>80</x:v>
      </x:c>
      <x:c r="P145" s="82" t="str">
        <x:v>Sim</x:v>
      </x:c>
      <x:c r="Q145" s="82" t="str">
        <x:v>Não</x:v>
      </x:c>
      <x:c r="R145" s="82" t="str">
        <x:v>Rankeado</x:v>
      </x:c>
      <x:c r="S145" s="82" t="str">
        <x:v>https://poke.idleworld.online/pokepedia/pokemon/kabutops</x:v>
      </x:c>
      <x:c r="T145" s="143" t="n">
        <x:f>MAX(K145,M145)*Metodologia!$B$16</x:f>
        <x:v>149.5</x:v>
      </x:c>
      <x:c r="U145" s="143" t="n">
        <x:f>MIN(K145,M145)*Metodologia!$B$16</x:f>
        <x:v>84.5</x:v>
      </x:c>
      <x:c r="V145" s="144" t="n">
        <x:f>SQRT(J145*AVERAGE(L145,N145)*Metodologia!$B$16)</x:f>
        <x:v>82.61355820929153</x:v>
      </x:c>
    </x:row>
    <x:row r="146" ht="22" customHeight="1">
      <x:c r="A146" s="82" t="n">
        <x:v>142</x:v>
      </x:c>
      <x:c r="B146" s="82" t="str">
        <x:v>Aerodactyl</x:v>
      </x:c>
      <x:c r="C146" s="82" t="str">
        <x:v>Pedra / Voador</x:v>
      </x:c>
      <x:c r="D146" s="82" t="str">
        <x:v>Orebound / Wingeon</x:v>
      </x:c>
      <x:c r="E146" s="82" t="n">
        <x:v>2</x:v>
      </x:c>
      <x:c r="F146" s="82" t="str">
        <x:f>IF(G146&gt;=80,"S+",IF(G146&gt;=72,"S",IF(G146&gt;=65,"A",IF(G146&gt;=58,"B",IF(G146&gt;=50,"C",IF(G146&gt;=42,"D","E"))))))</x:f>
        <x:v>A</x:v>
      </x:c>
      <x:c r="G146" s="142" t="n">
        <x:f>ROUND(100*(Metodologia!$B$17*(T146/Metodologia!$B$22)+Metodologia!$B$18*(U146/Metodologia!$B$23)+Metodologia!$B$19*(V146/Metodologia!$B$24)+Metodologia!$B$20*(O146/Metodologia!$B$25)+Metodologia!$B$21*(I146/Metodologia!$B$26)),2)</x:f>
        <x:v>67.07</x:v>
      </x:c>
      <x:c r="H146" s="82" t="n">
        <x:f>IF(R146&lt;&gt;"Rankeado","",COUNTIFS($R$5:$R$255,"Rankeado",$G$5:$G$255,"&gt;"&amp;G146)+COUNTIFS($R$5:R146,"Rankeado",$G$5:G146,G146))</x:f>
        <x:v>29</x:v>
      </x:c>
      <x:c r="I146" s="82" t="n">
        <x:f>SUM(J146:O146)</x:f>
        <x:v>515</x:v>
      </x:c>
      <x:c r="J146" s="82" t="n">
        <x:v>80</x:v>
      </x:c>
      <x:c r="K146" s="82" t="n">
        <x:v>105</x:v>
      </x:c>
      <x:c r="L146" s="82" t="n">
        <x:v>65</x:v>
      </x:c>
      <x:c r="M146" s="82" t="n">
        <x:v>60</x:v>
      </x:c>
      <x:c r="N146" s="82" t="n">
        <x:v>75</x:v>
      </x:c>
      <x:c r="O146" s="82" t="n">
        <x:v>130</x:v>
      </x:c>
      <x:c r="P146" s="82" t="str">
        <x:v>Sim</x:v>
      </x:c>
      <x:c r="Q146" s="82" t="str">
        <x:v>Não</x:v>
      </x:c>
      <x:c r="R146" s="82" t="str">
        <x:v>Rankeado</x:v>
      </x:c>
      <x:c r="S146" s="82" t="str">
        <x:v>https://poke.idleworld.online/pokepedia/pokemon/aerodactyl</x:v>
      </x:c>
      <x:c r="T146" s="143" t="n">
        <x:f>MAX(K146,M146)*Metodologia!$B$16</x:f>
        <x:v>136.5</x:v>
      </x:c>
      <x:c r="U146" s="143" t="n">
        <x:f>MIN(K146,M146)*Metodologia!$B$16</x:f>
        <x:v>78</x:v>
      </x:c>
      <x:c r="V146" s="144" t="n">
        <x:f>SQRT(J146*AVERAGE(L146,N146)*Metodologia!$B$16)</x:f>
        <x:v>85.32291603080617</x:v>
      </x:c>
    </x:row>
    <x:row r="147" ht="22" customHeight="1">
      <x:c r="A147" s="82" t="n">
        <x:v>143</x:v>
      </x:c>
      <x:c r="B147" s="82" t="str">
        <x:v>Snorlax</x:v>
      </x:c>
      <x:c r="C147" s="82" t="str">
        <x:v>Normal</x:v>
      </x:c>
      <x:c r="D147" s="82" t="str">
        <x:v>Gardestrike</x:v>
      </x:c>
      <x:c r="E147" s="82" t="n">
        <x:v>1</x:v>
      </x:c>
      <x:c r="F147" s="82" t="str">
        <x:f>IF(G147&gt;=80,"S+",IF(G147&gt;=72,"S",IF(G147&gt;=65,"A",IF(G147&gt;=58,"B",IF(G147&gt;=50,"C",IF(G147&gt;=42,"D","E"))))))</x:f>
        <x:v>A</x:v>
      </x:c>
      <x:c r="G147" s="142" t="n">
        <x:f>ROUND(100*(Metodologia!$B$17*(T147/Metodologia!$B$22)+Metodologia!$B$18*(U147/Metodologia!$B$23)+Metodologia!$B$19*(V147/Metodologia!$B$24)+Metodologia!$B$20*(O147/Metodologia!$B$25)+Metodologia!$B$21*(I147/Metodologia!$B$26)),2)</x:f>
        <x:v>67.79</x:v>
      </x:c>
      <x:c r="H147" s="82" t="n">
        <x:f>IF(R147&lt;&gt;"Rankeado","",COUNTIFS($R$5:$R$255,"Rankeado",$G$5:$G$255,"&gt;"&amp;G147)+COUNTIFS($R$5:R147,"Rankeado",$G$5:G147,G147))</x:f>
        <x:v>25</x:v>
      </x:c>
      <x:c r="I147" s="82" t="n">
        <x:f>SUM(J147:O147)</x:f>
        <x:v>540</x:v>
      </x:c>
      <x:c r="J147" s="82" t="n">
        <x:v>160</x:v>
      </x:c>
      <x:c r="K147" s="82" t="n">
        <x:v>110</x:v>
      </x:c>
      <x:c r="L147" s="82" t="n">
        <x:v>65</x:v>
      </x:c>
      <x:c r="M147" s="82" t="n">
        <x:v>65</x:v>
      </x:c>
      <x:c r="N147" s="82" t="n">
        <x:v>110</x:v>
      </x:c>
      <x:c r="O147" s="82" t="n">
        <x:v>30</x:v>
      </x:c>
      <x:c r="P147" s="82" t="str">
        <x:v>Sim</x:v>
      </x:c>
      <x:c r="Q147" s="82" t="str">
        <x:v>Não</x:v>
      </x:c>
      <x:c r="R147" s="82" t="str">
        <x:v>Rankeado</x:v>
      </x:c>
      <x:c r="S147" s="82" t="str">
        <x:v>https://poke.idleworld.online/pokepedia/pokemon/snorlax</x:v>
      </x:c>
      <x:c r="T147" s="143" t="n">
        <x:f>MAX(K147,M147)*Metodologia!$B$16</x:f>
        <x:v>143</x:v>
      </x:c>
      <x:c r="U147" s="143" t="n">
        <x:f>MIN(K147,M147)*Metodologia!$B$16</x:f>
        <x:v>84.5</x:v>
      </x:c>
      <x:c r="V147" s="144" t="n">
        <x:f>SQRT(J147*AVERAGE(L147,N147)*Metodologia!$B$16)</x:f>
        <x:v>134.90737563232042</x:v>
      </x:c>
    </x:row>
    <x:row r="148" ht="22" customHeight="1">
      <x:c r="A148" s="82" t="n">
        <x:v>144</x:v>
      </x:c>
      <x:c r="B148" s="82" t="str">
        <x:v>Articuno</x:v>
      </x:c>
      <x:c r="C148" s="82" t="str">
        <x:v>Gelo / Voador</x:v>
      </x:c>
      <x:c r="D148" s="82" t="str">
        <x:v>Wingeon / Seavell</x:v>
      </x:c>
      <x:c r="E148" s="82" t="n">
        <x:v>2</x:v>
      </x:c>
      <x:c r="F148" s="82" t="str">
        <x:f>IF(G148&gt;=80,"S+",IF(G148&gt;=72,"S",IF(G148&gt;=65,"A",IF(G148&gt;=58,"B",IF(G148&gt;=50,"C",IF(G148&gt;=42,"D","E"))))))</x:f>
        <x:v>A</x:v>
      </x:c>
      <x:c r="G148" s="142" t="n">
        <x:f>ROUND(100*(Metodologia!$B$17*(T148/Metodologia!$B$22)+Metodologia!$B$18*(U148/Metodologia!$B$23)+Metodologia!$B$19*(V148/Metodologia!$B$24)+Metodologia!$B$20*(O148/Metodologia!$B$25)+Metodologia!$B$21*(I148/Metodologia!$B$26)),2)</x:f>
        <x:v>65.77</x:v>
      </x:c>
      <x:c r="H148" s="82" t="str">
        <x:f>IF(R148&lt;&gt;"Rankeado","",COUNTIFS($R$5:$R$255,"Rankeado",$G$5:$G$255,"&gt;"&amp;G148)+COUNTIFS($R$5:R148,"Rankeado",$G$5:G148,G148))</x:f>
      </x:c>
      <x:c r="I148" s="82" t="n">
        <x:f>SUM(J148:O148)</x:f>
        <x:v>580</x:v>
      </x:c>
      <x:c r="J148" s="82" t="n">
        <x:v>90</x:v>
      </x:c>
      <x:c r="K148" s="82" t="n">
        <x:v>85</x:v>
      </x:c>
      <x:c r="L148" s="82" t="n">
        <x:v>100</x:v>
      </x:c>
      <x:c r="M148" s="82" t="n">
        <x:v>95</x:v>
      </x:c>
      <x:c r="N148" s="82" t="n">
        <x:v>125</x:v>
      </x:c>
      <x:c r="O148" s="82" t="n">
        <x:v>85</x:v>
      </x:c>
      <x:c r="P148" s="82" t="str">
        <x:v>Não</x:v>
      </x:c>
      <x:c r="Q148" s="82" t="str">
        <x:v>Sim</x:v>
      </x:c>
      <x:c r="R148" s="82" t="str">
        <x:v>Excluído do utilizável</x:v>
      </x:c>
      <x:c r="S148" s="82" t="str">
        <x:v>https://poke.idleworld.online/pokepedia/pokemon/articuno</x:v>
      </x:c>
      <x:c r="T148" s="143" t="n">
        <x:f>MAX(K148,M148)*Metodologia!$B$16</x:f>
        <x:v>123.5</x:v>
      </x:c>
      <x:c r="U148" s="143" t="n">
        <x:f>MIN(K148,M148)*Metodologia!$B$16</x:f>
        <x:v>110.5</x:v>
      </x:c>
      <x:c r="V148" s="144" t="n">
        <x:f>SQRT(J148*AVERAGE(L148,N148)*Metodologia!$B$16)</x:f>
        <x:v>114.72793905583765</x:v>
      </x:c>
    </x:row>
    <x:row r="149" ht="22" customHeight="1">
      <x:c r="A149" s="82" t="n">
        <x:v>145</x:v>
      </x:c>
      <x:c r="B149" s="82" t="str">
        <x:v>Zapdos</x:v>
      </x:c>
      <x:c r="C149" s="82" t="str">
        <x:v>Elétrico / Voador</x:v>
      </x:c>
      <x:c r="D149" s="82" t="str">
        <x:v>Raibolt / Wingeon</x:v>
      </x:c>
      <x:c r="E149" s="82" t="n">
        <x:v>2</x:v>
      </x:c>
      <x:c r="F149" s="82" t="str">
        <x:f>IF(G149&gt;=80,"S+",IF(G149&gt;=72,"S",IF(G149&gt;=65,"A",IF(G149&gt;=58,"B",IF(G149&gt;=50,"C",IF(G149&gt;=42,"D","E"))))))</x:f>
        <x:v>S</x:v>
      </x:c>
      <x:c r="G149" s="142" t="n">
        <x:f>ROUND(100*(Metodologia!$B$17*(T149/Metodologia!$B$22)+Metodologia!$B$18*(U149/Metodologia!$B$23)+Metodologia!$B$19*(V149/Metodologia!$B$24)+Metodologia!$B$20*(O149/Metodologia!$B$25)+Metodologia!$B$21*(I149/Metodologia!$B$26)),2)</x:f>
        <x:v>77.6</x:v>
      </x:c>
      <x:c r="H149" s="82" t="str">
        <x:f>IF(R149&lt;&gt;"Rankeado","",COUNTIFS($R$5:$R$255,"Rankeado",$G$5:$G$255,"&gt;"&amp;G149)+COUNTIFS($R$5:R149,"Rankeado",$G$5:G149,G149))</x:f>
      </x:c>
      <x:c r="I149" s="82" t="n">
        <x:f>SUM(J149:O149)</x:f>
        <x:v>580</x:v>
      </x:c>
      <x:c r="J149" s="82" t="n">
        <x:v>90</x:v>
      </x:c>
      <x:c r="K149" s="82" t="n">
        <x:v>90</x:v>
      </x:c>
      <x:c r="L149" s="82" t="n">
        <x:v>85</x:v>
      </x:c>
      <x:c r="M149" s="82" t="n">
        <x:v>125</x:v>
      </x:c>
      <x:c r="N149" s="82" t="n">
        <x:v>90</x:v>
      </x:c>
      <x:c r="O149" s="82" t="n">
        <x:v>100</x:v>
      </x:c>
      <x:c r="P149" s="82" t="str">
        <x:v>Não</x:v>
      </x:c>
      <x:c r="Q149" s="82" t="str">
        <x:v>Sim</x:v>
      </x:c>
      <x:c r="R149" s="82" t="str">
        <x:v>Excluído do utilizável</x:v>
      </x:c>
      <x:c r="S149" s="82" t="str">
        <x:v>https://poke.idleworld.online/pokepedia/pokemon/zapdos</x:v>
      </x:c>
      <x:c r="T149" s="143" t="n">
        <x:f>MAX(K149,M149)*Metodologia!$B$16</x:f>
        <x:v>162.5</x:v>
      </x:c>
      <x:c r="U149" s="143" t="n">
        <x:f>MIN(K149,M149)*Metodologia!$B$16</x:f>
        <x:v>117</x:v>
      </x:c>
      <x:c r="V149" s="144" t="n">
        <x:f>SQRT(J149*AVERAGE(L149,N149)*Metodologia!$B$16)</x:f>
        <x:v>101.18053172424031</x:v>
      </x:c>
    </x:row>
    <x:row r="150" ht="22" customHeight="1">
      <x:c r="A150" s="82" t="n">
        <x:v>146</x:v>
      </x:c>
      <x:c r="B150" s="82" t="str">
        <x:v>Moltres</x:v>
      </x:c>
      <x:c r="C150" s="82" t="str">
        <x:v>Fogo / Voador</x:v>
      </x:c>
      <x:c r="D150" s="82" t="str">
        <x:v>Volcanic / Wingeon</x:v>
      </x:c>
      <x:c r="E150" s="82" t="n">
        <x:v>2</x:v>
      </x:c>
      <x:c r="F150" s="82" t="str">
        <x:f>IF(G150&gt;=80,"S+",IF(G150&gt;=72,"S",IF(G150&gt;=65,"A",IF(G150&gt;=58,"B",IF(G150&gt;=50,"C",IF(G150&gt;=42,"D","E"))))))</x:f>
        <x:v>S</x:v>
      </x:c>
      <x:c r="G150" s="142" t="n">
        <x:f>ROUND(100*(Metodologia!$B$17*(T150/Metodologia!$B$22)+Metodologia!$B$18*(U150/Metodologia!$B$23)+Metodologia!$B$19*(V150/Metodologia!$B$24)+Metodologia!$B$20*(O150/Metodologia!$B$25)+Metodologia!$B$21*(I150/Metodologia!$B$26)),2)</x:f>
        <x:v>77.85</x:v>
      </x:c>
      <x:c r="H150" s="82" t="str">
        <x:f>IF(R150&lt;&gt;"Rankeado","",COUNTIFS($R$5:$R$255,"Rankeado",$G$5:$G$255,"&gt;"&amp;G150)+COUNTIFS($R$5:R150,"Rankeado",$G$5:G150,G150))</x:f>
      </x:c>
      <x:c r="I150" s="82" t="n">
        <x:f>SUM(J150:O150)</x:f>
        <x:v>580</x:v>
      </x:c>
      <x:c r="J150" s="82" t="n">
        <x:v>90</x:v>
      </x:c>
      <x:c r="K150" s="82" t="n">
        <x:v>100</x:v>
      </x:c>
      <x:c r="L150" s="82" t="n">
        <x:v>90</x:v>
      </x:c>
      <x:c r="M150" s="82" t="n">
        <x:v>125</x:v>
      </x:c>
      <x:c r="N150" s="82" t="n">
        <x:v>85</x:v>
      </x:c>
      <x:c r="O150" s="82" t="n">
        <x:v>90</x:v>
      </x:c>
      <x:c r="P150" s="82" t="str">
        <x:v>Não</x:v>
      </x:c>
      <x:c r="Q150" s="82" t="str">
        <x:v>Sim</x:v>
      </x:c>
      <x:c r="R150" s="82" t="str">
        <x:v>Excluído do utilizável</x:v>
      </x:c>
      <x:c r="S150" s="82" t="str">
        <x:v>https://poke.idleworld.online/pokepedia/pokemon/moltres</x:v>
      </x:c>
      <x:c r="T150" s="143" t="n">
        <x:f>MAX(K150,M150)*Metodologia!$B$16</x:f>
        <x:v>162.5</x:v>
      </x:c>
      <x:c r="U150" s="143" t="n">
        <x:f>MIN(K150,M150)*Metodologia!$B$16</x:f>
        <x:v>130</x:v>
      </x:c>
      <x:c r="V150" s="144" t="n">
        <x:f>SQRT(J150*AVERAGE(L150,N150)*Metodologia!$B$16)</x:f>
        <x:v>101.18053172424031</x:v>
      </x:c>
    </x:row>
    <x:row r="151" ht="22" customHeight="1">
      <x:c r="A151" s="82" t="n">
        <x:v>147</x:v>
      </x:c>
      <x:c r="B151" s="82" t="str">
        <x:v>Dratini</x:v>
      </x:c>
      <x:c r="C151" s="82" t="str">
        <x:v>Dragão</x:v>
      </x:c>
      <x:c r="D151" s="82" t="str">
        <x:v>Wingeon</x:v>
      </x:c>
      <x:c r="E151" s="82" t="n">
        <x:v>1</x:v>
      </x:c>
      <x:c r="F151" s="82" t="str">
        <x:f>IF(G151&gt;=80,"S+",IF(G151&gt;=72,"S",IF(G151&gt;=65,"A",IF(G151&gt;=58,"B",IF(G151&gt;=50,"C",IF(G151&gt;=42,"D","E"))))))</x:f>
        <x:v>E</x:v>
      </x:c>
      <x:c r="G151" s="142" t="n">
        <x:f>ROUND(100*(Metodologia!$B$17*(T151/Metodologia!$B$22)+Metodologia!$B$18*(U151/Metodologia!$B$23)+Metodologia!$B$19*(V151/Metodologia!$B$24)+Metodologia!$B$20*(O151/Metodologia!$B$25)+Metodologia!$B$21*(I151/Metodologia!$B$26)),2)</x:f>
        <x:v>39.89</x:v>
      </x:c>
      <x:c r="H151" s="82" t="n">
        <x:f>IF(R151&lt;&gt;"Rankeado","",COUNTIFS($R$5:$R$255,"Rankeado",$G$5:$G$255,"&gt;"&amp;G151)+COUNTIFS($R$5:R151,"Rankeado",$G$5:G151,G151))</x:f>
        <x:v>180</x:v>
      </x:c>
      <x:c r="I151" s="82" t="n">
        <x:f>SUM(J151:O151)</x:f>
        <x:v>300</x:v>
      </x:c>
      <x:c r="J151" s="82" t="n">
        <x:v>41</x:v>
      </x:c>
      <x:c r="K151" s="82" t="n">
        <x:v>64</x:v>
      </x:c>
      <x:c r="L151" s="82" t="n">
        <x:v>45</x:v>
      </x:c>
      <x:c r="M151" s="82" t="n">
        <x:v>50</x:v>
      </x:c>
      <x:c r="N151" s="82" t="n">
        <x:v>50</x:v>
      </x:c>
      <x:c r="O151" s="82" t="n">
        <x:v>50</x:v>
      </x:c>
      <x:c r="P151" s="82" t="str">
        <x:v>Sim</x:v>
      </x:c>
      <x:c r="Q151" s="82" t="str">
        <x:v>Não</x:v>
      </x:c>
      <x:c r="R151" s="82" t="str">
        <x:v>Rankeado</x:v>
      </x:c>
      <x:c r="S151" s="82" t="str">
        <x:v>https://poke.idleworld.online/pokepedia/pokemon/dratini</x:v>
      </x:c>
      <x:c r="T151" s="143" t="n">
        <x:f>MAX(K151,M151)*Metodologia!$B$16</x:f>
        <x:v>83.2</x:v>
      </x:c>
      <x:c r="U151" s="143" t="n">
        <x:f>MIN(K151,M151)*Metodologia!$B$16</x:f>
        <x:v>65</x:v>
      </x:c>
      <x:c r="V151" s="144" t="n">
        <x:f>SQRT(J151*AVERAGE(L151,N151)*Metodologia!$B$16)</x:f>
        <x:v>50.31649828833481</x:v>
      </x:c>
    </x:row>
    <x:row r="152" ht="22" customHeight="1">
      <x:c r="A152" s="82" t="n">
        <x:v>148</x:v>
      </x:c>
      <x:c r="B152" s="82" t="str">
        <x:v>Dragonair</x:v>
      </x:c>
      <x:c r="C152" s="82" t="str">
        <x:v>Dragão</x:v>
      </x:c>
      <x:c r="D152" s="82" t="str">
        <x:v>Wingeon</x:v>
      </x:c>
      <x:c r="E152" s="82" t="n">
        <x:v>1</x:v>
      </x:c>
      <x:c r="F152" s="82" t="str">
        <x:f>IF(G152&gt;=80,"S+",IF(G152&gt;=72,"S",IF(G152&gt;=65,"A",IF(G152&gt;=58,"B",IF(G152&gt;=50,"C",IF(G152&gt;=42,"D","E"))))))</x:f>
        <x:v>C</x:v>
      </x:c>
      <x:c r="G152" s="142" t="n">
        <x:f>ROUND(100*(Metodologia!$B$17*(T152/Metodologia!$B$22)+Metodologia!$B$18*(U152/Metodologia!$B$23)+Metodologia!$B$19*(V152/Metodologia!$B$24)+Metodologia!$B$20*(O152/Metodologia!$B$25)+Metodologia!$B$21*(I152/Metodologia!$B$26)),2)</x:f>
        <x:v>53.92</x:v>
      </x:c>
      <x:c r="H152" s="82" t="n">
        <x:f>IF(R152&lt;&gt;"Rankeado","",COUNTIFS($R$5:$R$255,"Rankeado",$G$5:$G$255,"&gt;"&amp;G152)+COUNTIFS($R$5:R152,"Rankeado",$G$5:G152,G152))</x:f>
        <x:v>105</x:v>
      </x:c>
      <x:c r="I152" s="82" t="n">
        <x:f>SUM(J152:O152)</x:f>
        <x:v>420</x:v>
      </x:c>
      <x:c r="J152" s="82" t="n">
        <x:v>61</x:v>
      </x:c>
      <x:c r="K152" s="82" t="n">
        <x:v>84</x:v>
      </x:c>
      <x:c r="L152" s="82" t="n">
        <x:v>65</x:v>
      </x:c>
      <x:c r="M152" s="82" t="n">
        <x:v>70</x:v>
      </x:c>
      <x:c r="N152" s="82" t="n">
        <x:v>70</x:v>
      </x:c>
      <x:c r="O152" s="82" t="n">
        <x:v>70</x:v>
      </x:c>
      <x:c r="P152" s="82" t="str">
        <x:v>Sim</x:v>
      </x:c>
      <x:c r="Q152" s="82" t="str">
        <x:v>Não</x:v>
      </x:c>
      <x:c r="R152" s="82" t="str">
        <x:v>Rankeado</x:v>
      </x:c>
      <x:c r="S152" s="82" t="str">
        <x:v>https://poke.idleworld.online/pokepedia/pokemon/dragonair</x:v>
      </x:c>
      <x:c r="T152" s="143" t="n">
        <x:f>MAX(K152,M152)*Metodologia!$B$16</x:f>
        <x:v>109.2</x:v>
      </x:c>
      <x:c r="U152" s="143" t="n">
        <x:f>MIN(K152,M152)*Metodologia!$B$16</x:f>
        <x:v>91</x:v>
      </x:c>
      <x:c r="V152" s="144" t="n">
        <x:f>SQRT(J152*AVERAGE(L152,N152)*Metodologia!$B$16)</x:f>
        <x:v>73.1624903895432</x:v>
      </x:c>
    </x:row>
    <x:row r="153" ht="22" customHeight="1">
      <x:c r="A153" s="82" t="n">
        <x:v>149</x:v>
      </x:c>
      <x:c r="B153" s="82" t="str">
        <x:v>Dragonite</x:v>
      </x:c>
      <x:c r="C153" s="82" t="str">
        <x:v>Dragão / Voador</x:v>
      </x:c>
      <x:c r="D153" s="82" t="str">
        <x:v>Wingeon</x:v>
      </x:c>
      <x:c r="E153" s="82" t="n">
        <x:v>1</x:v>
      </x:c>
      <x:c r="F153" s="82" t="str">
        <x:f>IF(G153&gt;=80,"S+",IF(G153&gt;=72,"S",IF(G153&gt;=65,"A",IF(G153&gt;=58,"B",IF(G153&gt;=50,"C",IF(G153&gt;=42,"D","E"))))))</x:f>
        <x:v>S+</x:v>
      </x:c>
      <x:c r="G153" s="142" t="n">
        <x:f>ROUND(100*(Metodologia!$B$17*(T153/Metodologia!$B$22)+Metodologia!$B$18*(U153/Metodologia!$B$23)+Metodologia!$B$19*(V153/Metodologia!$B$24)+Metodologia!$B$20*(O153/Metodologia!$B$25)+Metodologia!$B$21*(I153/Metodologia!$B$26)),2)</x:f>
        <x:v>81.44</x:v>
      </x:c>
      <x:c r="H153" s="82" t="n">
        <x:f>IF(R153&lt;&gt;"Rankeado","",COUNTIFS($R$5:$R$255,"Rankeado",$G$5:$G$255,"&gt;"&amp;G153)+COUNTIFS($R$5:R153,"Rankeado",$G$5:G153,G153))</x:f>
        <x:v>1</x:v>
      </x:c>
      <x:c r="I153" s="82" t="n">
        <x:f>SUM(J153:O153)</x:f>
        <x:v>600</x:v>
      </x:c>
      <x:c r="J153" s="82" t="n">
        <x:v>91</x:v>
      </x:c>
      <x:c r="K153" s="82" t="n">
        <x:v>134</x:v>
      </x:c>
      <x:c r="L153" s="82" t="n">
        <x:v>95</x:v>
      </x:c>
      <x:c r="M153" s="82" t="n">
        <x:v>100</x:v>
      </x:c>
      <x:c r="N153" s="82" t="n">
        <x:v>100</x:v>
      </x:c>
      <x:c r="O153" s="82" t="n">
        <x:v>80</x:v>
      </x:c>
      <x:c r="P153" s="82" t="str">
        <x:v>Sim</x:v>
      </x:c>
      <x:c r="Q153" s="82" t="str">
        <x:v>Não</x:v>
      </x:c>
      <x:c r="R153" s="82" t="str">
        <x:v>Rankeado</x:v>
      </x:c>
      <x:c r="S153" s="82" t="str">
        <x:v>https://poke.idleworld.online/pokepedia/pokemon/dragonite</x:v>
      </x:c>
      <x:c r="T153" s="143" t="n">
        <x:f>MAX(K153,M153)*Metodologia!$B$16</x:f>
        <x:v>174.20000000000002</x:v>
      </x:c>
      <x:c r="U153" s="143" t="n">
        <x:f>MIN(K153,M153)*Metodologia!$B$16</x:f>
        <x:v>130</x:v>
      </x:c>
      <x:c r="V153" s="144" t="n">
        <x:f>SQRT(J153*AVERAGE(L153,N153)*Metodologia!$B$16)</x:f>
        <x:v>107.39762567207899</x:v>
      </x:c>
    </x:row>
    <x:row r="154" ht="22" customHeight="1">
      <x:c r="A154" s="82" t="n">
        <x:v>150</x:v>
      </x:c>
      <x:c r="B154" s="82" t="str">
        <x:v>Mewtwo</x:v>
      </x:c>
      <x:c r="C154" s="82" t="str">
        <x:v>Psíquico</x:v>
      </x:c>
      <x:c r="D154" s="82" t="str">
        <x:v>Psycraft</x:v>
      </x:c>
      <x:c r="E154" s="82" t="n">
        <x:v>1</x:v>
      </x:c>
      <x:c r="F154" s="82" t="str">
        <x:f>IF(G154&gt;=80,"S+",IF(G154&gt;=72,"S",IF(G154&gt;=65,"A",IF(G154&gt;=58,"B",IF(G154&gt;=50,"C",IF(G154&gt;=42,"D","E"))))))</x:f>
        <x:v>S+</x:v>
      </x:c>
      <x:c r="G154" s="142" t="n">
        <x:f>ROUND(100*(Metodologia!$B$17*(T154/Metodologia!$B$22)+Metodologia!$B$18*(U154/Metodologia!$B$23)+Metodologia!$B$19*(V154/Metodologia!$B$24)+Metodologia!$B$20*(O154/Metodologia!$B$25)+Metodologia!$B$21*(I154/Metodologia!$B$26)),2)</x:f>
        <x:v>94.44</x:v>
      </x:c>
      <x:c r="H154" s="82" t="str">
        <x:f>IF(R154&lt;&gt;"Rankeado","",COUNTIFS($R$5:$R$255,"Rankeado",$G$5:$G$255,"&gt;"&amp;G154)+COUNTIFS($R$5:R154,"Rankeado",$G$5:G154,G154))</x:f>
      </x:c>
      <x:c r="I154" s="82" t="n">
        <x:f>SUM(J154:O154)</x:f>
        <x:v>680</x:v>
      </x:c>
      <x:c r="J154" s="82" t="n">
        <x:v>106</x:v>
      </x:c>
      <x:c r="K154" s="82" t="n">
        <x:v>110</x:v>
      </x:c>
      <x:c r="L154" s="82" t="n">
        <x:v>90</x:v>
      </x:c>
      <x:c r="M154" s="82" t="n">
        <x:v>154</x:v>
      </x:c>
      <x:c r="N154" s="82" t="n">
        <x:v>90</x:v>
      </x:c>
      <x:c r="O154" s="82" t="n">
        <x:v>130</x:v>
      </x:c>
      <x:c r="P154" s="82" t="str">
        <x:v>Não</x:v>
      </x:c>
      <x:c r="Q154" s="82" t="str">
        <x:v>Sim</x:v>
      </x:c>
      <x:c r="R154" s="82" t="str">
        <x:v>Excluído do utilizável</x:v>
      </x:c>
      <x:c r="S154" s="82" t="str">
        <x:v>https://poke.idleworld.online/pokepedia/pokemon/mewtwo</x:v>
      </x:c>
      <x:c r="T154" s="143" t="n">
        <x:f>MAX(K154,M154)*Metodologia!$B$16</x:f>
        <x:v>200.20000000000002</x:v>
      </x:c>
      <x:c r="U154" s="143" t="n">
        <x:f>MIN(K154,M154)*Metodologia!$B$16</x:f>
        <x:v>143</x:v>
      </x:c>
      <x:c r="V154" s="144" t="n">
        <x:f>SQRT(J154*AVERAGE(L154,N154)*Metodologia!$B$16)</x:f>
        <x:v>111.36426715962351</x:v>
      </x:c>
    </x:row>
    <x:row r="155" ht="22" customHeight="1">
      <x:c r="A155" s="82" t="n">
        <x:v>151</x:v>
      </x:c>
      <x:c r="B155" s="82" t="str">
        <x:v>Mew</x:v>
      </x:c>
      <x:c r="C155" s="82" t="str">
        <x:v>Psíquico</x:v>
      </x:c>
      <x:c r="D155" s="82" t="str">
        <x:v>Psycraft</x:v>
      </x:c>
      <x:c r="E155" s="82" t="n">
        <x:v>1</x:v>
      </x:c>
      <x:c r="F155" s="82" t="str">
        <x:f>IF(G155&gt;=80,"S+",IF(G155&gt;=72,"S",IF(G155&gt;=65,"A",IF(G155&gt;=58,"B",IF(G155&gt;=50,"C",IF(G155&gt;=42,"D","E"))))))</x:f>
        <x:v>A</x:v>
      </x:c>
      <x:c r="G155" s="142" t="n">
        <x:f>ROUND(100*(Metodologia!$B$17*(T155/Metodologia!$B$22)+Metodologia!$B$18*(U155/Metodologia!$B$23)+Metodologia!$B$19*(V155/Metodologia!$B$24)+Metodologia!$B$20*(O155/Metodologia!$B$25)+Metodologia!$B$21*(I155/Metodologia!$B$26)),2)</x:f>
        <x:v>70.16</x:v>
      </x:c>
      <x:c r="H155" s="82" t="str">
        <x:f>IF(R155&lt;&gt;"Rankeado","",COUNTIFS($R$5:$R$255,"Rankeado",$G$5:$G$255,"&gt;"&amp;G155)+COUNTIFS($R$5:R155,"Rankeado",$G$5:G155,G155))</x:f>
      </x:c>
      <x:c r="I155" s="82" t="n">
        <x:f>SUM(J155:O155)</x:f>
        <x:v>600</x:v>
      </x:c>
      <x:c r="J155" s="82" t="n">
        <x:v>100</x:v>
      </x:c>
      <x:c r="K155" s="82" t="n">
        <x:v>100</x:v>
      </x:c>
      <x:c r="L155" s="82" t="n">
        <x:v>100</x:v>
      </x:c>
      <x:c r="M155" s="82" t="n">
        <x:v>100</x:v>
      </x:c>
      <x:c r="N155" s="82" t="n">
        <x:v>100</x:v>
      </x:c>
      <x:c r="O155" s="82" t="n">
        <x:v>100</x:v>
      </x:c>
      <x:c r="P155" s="82" t="str">
        <x:v>Não</x:v>
      </x:c>
      <x:c r="Q155" s="82" t="str">
        <x:v>Sim</x:v>
      </x:c>
      <x:c r="R155" s="82" t="str">
        <x:v>Excluído do utilizável</x:v>
      </x:c>
      <x:c r="S155" s="82" t="str">
        <x:v>https://poke.idleworld.online/pokepedia/pokemon/mew</x:v>
      </x:c>
      <x:c r="T155" s="143" t="n">
        <x:f>MAX(K155,M155)*Metodologia!$B$16</x:f>
        <x:v>130</x:v>
      </x:c>
      <x:c r="U155" s="143" t="n">
        <x:f>MIN(K155,M155)*Metodologia!$B$16</x:f>
        <x:v>130</x:v>
      </x:c>
      <x:c r="V155" s="144" t="n">
        <x:f>SQRT(J155*AVERAGE(L155,N155)*Metodologia!$B$16)</x:f>
        <x:v>114.0175425099138</x:v>
      </x:c>
    </x:row>
    <x:row r="156" ht="22" customHeight="1">
      <x:c r="A156" s="82" t="n">
        <x:v>152</x:v>
      </x:c>
      <x:c r="B156" s="82" t="str">
        <x:v>Chikorita</x:v>
      </x:c>
      <x:c r="C156" s="82" t="str">
        <x:v>Planta</x:v>
      </x:c>
      <x:c r="D156" s="82" t="str">
        <x:v>Naturia</x:v>
      </x:c>
      <x:c r="E156" s="82" t="n">
        <x:v>1</x:v>
      </x:c>
      <x:c r="F156" s="82" t="str">
        <x:f>IF(G156&gt;=80,"S+",IF(G156&gt;=72,"S",IF(G156&gt;=65,"A",IF(G156&gt;=58,"B",IF(G156&gt;=50,"C",IF(G156&gt;=42,"D","E"))))))</x:f>
        <x:v>E</x:v>
      </x:c>
      <x:c r="G156" s="142" t="n">
        <x:f>ROUND(100*(Metodologia!$B$17*(T156/Metodologia!$B$22)+Metodologia!$B$18*(U156/Metodologia!$B$23)+Metodologia!$B$19*(V156/Metodologia!$B$24)+Metodologia!$B$20*(O156/Metodologia!$B$25)+Metodologia!$B$21*(I156/Metodologia!$B$26)),2)</x:f>
        <x:v>34.85</x:v>
      </x:c>
      <x:c r="H156" s="82" t="n">
        <x:f>IF(R156&lt;&gt;"Rankeado","",COUNTIFS($R$5:$R$255,"Rankeado",$G$5:$G$255,"&gt;"&amp;G156)+COUNTIFS($R$5:R156,"Rankeado",$G$5:G156,G156))</x:f>
        <x:v>206</x:v>
      </x:c>
      <x:c r="I156" s="82" t="n">
        <x:f>SUM(J156:O156)</x:f>
        <x:v>318</x:v>
      </x:c>
      <x:c r="J156" s="82" t="n">
        <x:v>45</x:v>
      </x:c>
      <x:c r="K156" s="82" t="n">
        <x:v>49</x:v>
      </x:c>
      <x:c r="L156" s="82" t="n">
        <x:v>65</x:v>
      </x:c>
      <x:c r="M156" s="82" t="n">
        <x:v>49</x:v>
      </x:c>
      <x:c r="N156" s="82" t="n">
        <x:v>65</x:v>
      </x:c>
      <x:c r="O156" s="82" t="n">
        <x:v>45</x:v>
      </x:c>
      <x:c r="P156" s="82" t="str">
        <x:v>Sim</x:v>
      </x:c>
      <x:c r="Q156" s="82" t="str">
        <x:v>Não</x:v>
      </x:c>
      <x:c r="R156" s="82" t="str">
        <x:v>Rankeado</x:v>
      </x:c>
      <x:c r="S156" s="82" t="str">
        <x:v>https://poke.idleworld.online/pokepedia/pokemon/chikorita</x:v>
      </x:c>
      <x:c r="T156" s="143" t="n">
        <x:f>MAX(K156,M156)*Metodologia!$B$16</x:f>
        <x:v>63.7</x:v>
      </x:c>
      <x:c r="U156" s="143" t="n">
        <x:f>MIN(K156,M156)*Metodologia!$B$16</x:f>
        <x:v>63.7</x:v>
      </x:c>
      <x:c r="V156" s="144" t="n">
        <x:f>SQRT(J156*AVERAGE(L156,N156)*Metodologia!$B$16)</x:f>
        <x:v>61.6644143732834</x:v>
      </x:c>
    </x:row>
    <x:row r="157" ht="22" customHeight="1">
      <x:c r="A157" s="82" t="n">
        <x:v>153</x:v>
      </x:c>
      <x:c r="B157" s="82" t="str">
        <x:v>Bayleef</x:v>
      </x:c>
      <x:c r="C157" s="82" t="str">
        <x:v>Planta</x:v>
      </x:c>
      <x:c r="D157" s="82" t="str">
        <x:v>Naturia</x:v>
      </x:c>
      <x:c r="E157" s="82" t="n">
        <x:v>1</x:v>
      </x:c>
      <x:c r="F157" s="82" t="str">
        <x:f>IF(G157&gt;=80,"S+",IF(G157&gt;=72,"S",IF(G157&gt;=65,"A",IF(G157&gt;=58,"B",IF(G157&gt;=50,"C",IF(G157&gt;=42,"D","E"))))))</x:f>
        <x:v>D</x:v>
      </x:c>
      <x:c r="G157" s="142" t="n">
        <x:f>ROUND(100*(Metodologia!$B$17*(T157/Metodologia!$B$22)+Metodologia!$B$18*(U157/Metodologia!$B$23)+Metodologia!$B$19*(V157/Metodologia!$B$24)+Metodologia!$B$20*(O157/Metodologia!$B$25)+Metodologia!$B$21*(I157/Metodologia!$B$26)),2)</x:f>
        <x:v>44.8</x:v>
      </x:c>
      <x:c r="H157" s="82" t="n">
        <x:f>IF(R157&lt;&gt;"Rankeado","",COUNTIFS($R$5:$R$255,"Rankeado",$G$5:$G$255,"&gt;"&amp;G157)+COUNTIFS($R$5:R157,"Rankeado",$G$5:G157,G157))</x:f>
        <x:v>158</x:v>
      </x:c>
      <x:c r="I157" s="82" t="n">
        <x:f>SUM(J157:O157)</x:f>
        <x:v>405</x:v>
      </x:c>
      <x:c r="J157" s="82" t="n">
        <x:v>60</x:v>
      </x:c>
      <x:c r="K157" s="82" t="n">
        <x:v>62</x:v>
      </x:c>
      <x:c r="L157" s="82" t="n">
        <x:v>80</x:v>
      </x:c>
      <x:c r="M157" s="82" t="n">
        <x:v>63</x:v>
      </x:c>
      <x:c r="N157" s="82" t="n">
        <x:v>80</x:v>
      </x:c>
      <x:c r="O157" s="82" t="n">
        <x:v>60</x:v>
      </x:c>
      <x:c r="P157" s="82" t="str">
        <x:v>Sim</x:v>
      </x:c>
      <x:c r="Q157" s="82" t="str">
        <x:v>Não</x:v>
      </x:c>
      <x:c r="R157" s="82" t="str">
        <x:v>Rankeado</x:v>
      </x:c>
      <x:c r="S157" s="82" t="str">
        <x:v>https://poke.idleworld.online/pokepedia/pokemon/bayleef</x:v>
      </x:c>
      <x:c r="T157" s="143" t="n">
        <x:f>MAX(K157,M157)*Metodologia!$B$16</x:f>
        <x:v>81.9</x:v>
      </x:c>
      <x:c r="U157" s="143" t="n">
        <x:f>MIN(K157,M157)*Metodologia!$B$16</x:f>
        <x:v>80.60000000000001</x:v>
      </x:c>
      <x:c r="V157" s="144" t="n">
        <x:f>SQRT(J157*AVERAGE(L157,N157)*Metodologia!$B$16)</x:f>
        <x:v>78.99367063252599</x:v>
      </x:c>
    </x:row>
    <x:row r="158" ht="22" customHeight="1">
      <x:c r="A158" s="82" t="n">
        <x:v>154</x:v>
      </x:c>
      <x:c r="B158" s="82" t="str">
        <x:v>Meganium</x:v>
      </x:c>
      <x:c r="C158" s="82" t="str">
        <x:v>Planta</x:v>
      </x:c>
      <x:c r="D158" s="82" t="str">
        <x:v>Naturia</x:v>
      </x:c>
      <x:c r="E158" s="82" t="n">
        <x:v>1</x:v>
      </x:c>
      <x:c r="F158" s="82" t="str">
        <x:f>IF(G158&gt;=80,"S+",IF(G158&gt;=72,"S",IF(G158&gt;=65,"A",IF(G158&gt;=58,"B",IF(G158&gt;=50,"C",IF(G158&gt;=42,"D","E"))))))</x:f>
        <x:v>B</x:v>
      </x:c>
      <x:c r="G158" s="142" t="n">
        <x:f>ROUND(100*(Metodologia!$B$17*(T158/Metodologia!$B$22)+Metodologia!$B$18*(U158/Metodologia!$B$23)+Metodologia!$B$19*(V158/Metodologia!$B$24)+Metodologia!$B$20*(O158/Metodologia!$B$25)+Metodologia!$B$21*(I158/Metodologia!$B$26)),2)</x:f>
        <x:v>58.85</x:v>
      </x:c>
      <x:c r="H158" s="82" t="n">
        <x:f>IF(R158&lt;&gt;"Rankeado","",COUNTIFS($R$5:$R$255,"Rankeado",$G$5:$G$255,"&gt;"&amp;G158)+COUNTIFS($R$5:R158,"Rankeado",$G$5:G158,G158))</x:f>
        <x:v>76</x:v>
      </x:c>
      <x:c r="I158" s="82" t="n">
        <x:f>SUM(J158:O158)</x:f>
        <x:v>525</x:v>
      </x:c>
      <x:c r="J158" s="82" t="n">
        <x:v>80</x:v>
      </x:c>
      <x:c r="K158" s="82" t="n">
        <x:v>82</x:v>
      </x:c>
      <x:c r="L158" s="82" t="n">
        <x:v>100</x:v>
      </x:c>
      <x:c r="M158" s="82" t="n">
        <x:v>83</x:v>
      </x:c>
      <x:c r="N158" s="82" t="n">
        <x:v>100</x:v>
      </x:c>
      <x:c r="O158" s="82" t="n">
        <x:v>80</x:v>
      </x:c>
      <x:c r="P158" s="82" t="str">
        <x:v>Sim</x:v>
      </x:c>
      <x:c r="Q158" s="82" t="str">
        <x:v>Não</x:v>
      </x:c>
      <x:c r="R158" s="82" t="str">
        <x:v>Rankeado</x:v>
      </x:c>
      <x:c r="S158" s="82" t="str">
        <x:v>https://poke.idleworld.online/pokepedia/pokemon/meganium</x:v>
      </x:c>
      <x:c r="T158" s="143" t="n">
        <x:f>MAX(K158,M158)*Metodologia!$B$16</x:f>
        <x:v>107.9</x:v>
      </x:c>
      <x:c r="U158" s="143" t="n">
        <x:f>MIN(K158,M158)*Metodologia!$B$16</x:f>
        <x:v>106.60000000000001</x:v>
      </x:c>
      <x:c r="V158" s="144" t="n">
        <x:f>SQRT(J158*AVERAGE(L158,N158)*Metodologia!$B$16)</x:f>
        <x:v>101.9803902718557</x:v>
      </x:c>
    </x:row>
    <x:row r="159" ht="22" customHeight="1">
      <x:c r="A159" s="82" t="n">
        <x:v>155</x:v>
      </x:c>
      <x:c r="B159" s="82" t="str">
        <x:v>Cyndaquil</x:v>
      </x:c>
      <x:c r="C159" s="82" t="str">
        <x:v>Fogo</x:v>
      </x:c>
      <x:c r="D159" s="82" t="str">
        <x:v>Volcanic</x:v>
      </x:c>
      <x:c r="E159" s="82" t="n">
        <x:v>1</x:v>
      </x:c>
      <x:c r="F159" s="82" t="str">
        <x:f>IF(G159&gt;=80,"S+",IF(G159&gt;=72,"S",IF(G159&gt;=65,"A",IF(G159&gt;=58,"B",IF(G159&gt;=50,"C",IF(G159&gt;=42,"D","E"))))))</x:f>
        <x:v>E</x:v>
      </x:c>
      <x:c r="G159" s="142" t="n">
        <x:f>ROUND(100*(Metodologia!$B$17*(T159/Metodologia!$B$22)+Metodologia!$B$18*(U159/Metodologia!$B$23)+Metodologia!$B$19*(V159/Metodologia!$B$24)+Metodologia!$B$20*(O159/Metodologia!$B$25)+Metodologia!$B$21*(I159/Metodologia!$B$26)),2)</x:f>
        <x:v>39.41</x:v>
      </x:c>
      <x:c r="H159" s="82" t="n">
        <x:f>IF(R159&lt;&gt;"Rankeado","",COUNTIFS($R$5:$R$255,"Rankeado",$G$5:$G$255,"&gt;"&amp;G159)+COUNTIFS($R$5:R159,"Rankeado",$G$5:G159,G159))</x:f>
        <x:v>185</x:v>
      </x:c>
      <x:c r="I159" s="82" t="n">
        <x:f>SUM(J159:O159)</x:f>
        <x:v>309</x:v>
      </x:c>
      <x:c r="J159" s="82" t="n">
        <x:v>39</x:v>
      </x:c>
      <x:c r="K159" s="82" t="n">
        <x:v>52</x:v>
      </x:c>
      <x:c r="L159" s="82" t="n">
        <x:v>43</x:v>
      </x:c>
      <x:c r="M159" s="82" t="n">
        <x:v>60</x:v>
      </x:c>
      <x:c r="N159" s="82" t="n">
        <x:v>50</x:v>
      </x:c>
      <x:c r="O159" s="82" t="n">
        <x:v>65</x:v>
      </x:c>
      <x:c r="P159" s="82" t="str">
        <x:v>Sim</x:v>
      </x:c>
      <x:c r="Q159" s="82" t="str">
        <x:v>Não</x:v>
      </x:c>
      <x:c r="R159" s="82" t="str">
        <x:v>Rankeado</x:v>
      </x:c>
      <x:c r="S159" s="82" t="str">
        <x:v>https://poke.idleworld.online/pokepedia/pokemon/cyndaquil</x:v>
      </x:c>
      <x:c r="T159" s="143" t="n">
        <x:f>MAX(K159,M159)*Metodologia!$B$16</x:f>
        <x:v>78</x:v>
      </x:c>
      <x:c r="U159" s="143" t="n">
        <x:f>MIN(K159,M159)*Metodologia!$B$16</x:f>
        <x:v>67.60000000000001</x:v>
      </x:c>
      <x:c r="V159" s="144" t="n">
        <x:f>SQRT(J159*AVERAGE(L159,N159)*Metodologia!$B$16)</x:f>
        <x:v>48.55460843215606</x:v>
      </x:c>
    </x:row>
    <x:row r="160" ht="22" customHeight="1">
      <x:c r="A160" s="82" t="n">
        <x:v>156</x:v>
      </x:c>
      <x:c r="B160" s="82" t="str">
        <x:v>Quilava</x:v>
      </x:c>
      <x:c r="C160" s="82" t="str">
        <x:v>Fogo</x:v>
      </x:c>
      <x:c r="D160" s="82" t="str">
        <x:v>Volcanic</x:v>
      </x:c>
      <x:c r="E160" s="82" t="n">
        <x:v>1</x:v>
      </x:c>
      <x:c r="F160" s="82" t="str">
        <x:f>IF(G160&gt;=80,"S+",IF(G160&gt;=72,"S",IF(G160&gt;=65,"A",IF(G160&gt;=58,"B",IF(G160&gt;=50,"C",IF(G160&gt;=42,"D","E"))))))</x:f>
        <x:v>C</x:v>
      </x:c>
      <x:c r="G160" s="142" t="n">
        <x:f>ROUND(100*(Metodologia!$B$17*(T160/Metodologia!$B$22)+Metodologia!$B$18*(U160/Metodologia!$B$23)+Metodologia!$B$19*(V160/Metodologia!$B$24)+Metodologia!$B$20*(O160/Metodologia!$B$25)+Metodologia!$B$21*(I160/Metodologia!$B$26)),2)</x:f>
        <x:v>51.89</x:v>
      </x:c>
      <x:c r="H160" s="82" t="n">
        <x:f>IF(R160&lt;&gt;"Rankeado","",COUNTIFS($R$5:$R$255,"Rankeado",$G$5:$G$255,"&gt;"&amp;G160)+COUNTIFS($R$5:R160,"Rankeado",$G$5:G160,G160))</x:f>
        <x:v>122</x:v>
      </x:c>
      <x:c r="I160" s="82" t="n">
        <x:f>SUM(J160:O160)</x:f>
        <x:v>405</x:v>
      </x:c>
      <x:c r="J160" s="82" t="n">
        <x:v>58</x:v>
      </x:c>
      <x:c r="K160" s="82" t="n">
        <x:v>64</x:v>
      </x:c>
      <x:c r="L160" s="82" t="n">
        <x:v>58</x:v>
      </x:c>
      <x:c r="M160" s="82" t="n">
        <x:v>80</x:v>
      </x:c>
      <x:c r="N160" s="82" t="n">
        <x:v>65</x:v>
      </x:c>
      <x:c r="O160" s="82" t="n">
        <x:v>80</x:v>
      </x:c>
      <x:c r="P160" s="82" t="str">
        <x:v>Sim</x:v>
      </x:c>
      <x:c r="Q160" s="82" t="str">
        <x:v>Não</x:v>
      </x:c>
      <x:c r="R160" s="82" t="str">
        <x:v>Rankeado</x:v>
      </x:c>
      <x:c r="S160" s="82" t="str">
        <x:v>https://poke.idleworld.online/pokepedia/pokemon/quilava</x:v>
      </x:c>
      <x:c r="T160" s="143" t="n">
        <x:f>MAX(K160,M160)*Metodologia!$B$16</x:f>
        <x:v>104</x:v>
      </x:c>
      <x:c r="U160" s="143" t="n">
        <x:f>MIN(K160,M160)*Metodologia!$B$16</x:f>
        <x:v>83.2</x:v>
      </x:c>
      <x:c r="V160" s="144" t="n">
        <x:f>SQRT(J160*AVERAGE(L160,N160)*Metodologia!$B$16)</x:f>
        <x:v>68.09625540365637</x:v>
      </x:c>
    </x:row>
    <x:row r="161" ht="22" customHeight="1">
      <x:c r="A161" s="82" t="n">
        <x:v>157</x:v>
      </x:c>
      <x:c r="B161" s="82" t="str">
        <x:v>Typhlosion</x:v>
      </x:c>
      <x:c r="C161" s="82" t="str">
        <x:v>Fogo</x:v>
      </x:c>
      <x:c r="D161" s="82" t="str">
        <x:v>Volcanic</x:v>
      </x:c>
      <x:c r="E161" s="82" t="n">
        <x:v>1</x:v>
      </x:c>
      <x:c r="F161" s="82" t="str">
        <x:f>IF(G161&gt;=80,"S+",IF(G161&gt;=72,"S",IF(G161&gt;=65,"A",IF(G161&gt;=58,"B",IF(G161&gt;=50,"C",IF(G161&gt;=42,"D","E"))))))</x:f>
        <x:v>A</x:v>
      </x:c>
      <x:c r="G161" s="142" t="n">
        <x:f>ROUND(100*(Metodologia!$B$17*(T161/Metodologia!$B$22)+Metodologia!$B$18*(U161/Metodologia!$B$23)+Metodologia!$B$19*(V161/Metodologia!$B$24)+Metodologia!$B$20*(O161/Metodologia!$B$25)+Metodologia!$B$21*(I161/Metodologia!$B$26)),2)</x:f>
        <x:v>69.49</x:v>
      </x:c>
      <x:c r="H161" s="82" t="n">
        <x:f>IF(R161&lt;&gt;"Rankeado","",COUNTIFS($R$5:$R$255,"Rankeado",$G$5:$G$255,"&gt;"&amp;G161)+COUNTIFS($R$5:R161,"Rankeado",$G$5:G161,G161))</x:f>
        <x:v>18</x:v>
      </x:c>
      <x:c r="I161" s="82" t="n">
        <x:f>SUM(J161:O161)</x:f>
        <x:v>534</x:v>
      </x:c>
      <x:c r="J161" s="82" t="n">
        <x:v>78</x:v>
      </x:c>
      <x:c r="K161" s="82" t="n">
        <x:v>84</x:v>
      </x:c>
      <x:c r="L161" s="82" t="n">
        <x:v>78</x:v>
      </x:c>
      <x:c r="M161" s="82" t="n">
        <x:v>109</x:v>
      </x:c>
      <x:c r="N161" s="82" t="n">
        <x:v>85</x:v>
      </x:c>
      <x:c r="O161" s="82" t="n">
        <x:v>100</x:v>
      </x:c>
      <x:c r="P161" s="82" t="str">
        <x:v>Sim</x:v>
      </x:c>
      <x:c r="Q161" s="82" t="str">
        <x:v>Não</x:v>
      </x:c>
      <x:c r="R161" s="82" t="str">
        <x:v>Rankeado</x:v>
      </x:c>
      <x:c r="S161" s="82" t="str">
        <x:v>https://poke.idleworld.online/pokepedia/pokemon/typhlosion</x:v>
      </x:c>
      <x:c r="T161" s="143" t="n">
        <x:f>MAX(K161,M161)*Metodologia!$B$16</x:f>
        <x:v>141.70000000000002</x:v>
      </x:c>
      <x:c r="U161" s="143" t="n">
        <x:f>MIN(K161,M161)*Metodologia!$B$16</x:f>
        <x:v>109.2</x:v>
      </x:c>
      <x:c r="V161" s="144" t="n">
        <x:f>SQRT(J161*AVERAGE(L161,N161)*Metodologia!$B$16)</x:f>
        <x:v>90.90709543264487</x:v>
      </x:c>
    </x:row>
    <x:row r="162" ht="22" customHeight="1">
      <x:c r="A162" s="82" t="n">
        <x:v>158</x:v>
      </x:c>
      <x:c r="B162" s="82" t="str">
        <x:v>Totodile</x:v>
      </x:c>
      <x:c r="C162" s="82" t="str">
        <x:v>Água</x:v>
      </x:c>
      <x:c r="D162" s="82" t="str">
        <x:v>Seavell</x:v>
      </x:c>
      <x:c r="E162" s="82" t="n">
        <x:v>1</x:v>
      </x:c>
      <x:c r="F162" s="82" t="str">
        <x:f>IF(G162&gt;=80,"S+",IF(G162&gt;=72,"S",IF(G162&gt;=65,"A",IF(G162&gt;=58,"B",IF(G162&gt;=50,"C",IF(G162&gt;=42,"D","E"))))))</x:f>
        <x:v>E</x:v>
      </x:c>
      <x:c r="G162" s="142" t="n">
        <x:f>ROUND(100*(Metodologia!$B$17*(T162/Metodologia!$B$22)+Metodologia!$B$18*(U162/Metodologia!$B$23)+Metodologia!$B$19*(V162/Metodologia!$B$24)+Metodologia!$B$20*(O162/Metodologia!$B$25)+Metodologia!$B$21*(I162/Metodologia!$B$26)),2)</x:f>
        <x:v>40.34</x:v>
      </x:c>
      <x:c r="H162" s="82" t="n">
        <x:f>IF(R162&lt;&gt;"Rankeado","",COUNTIFS($R$5:$R$255,"Rankeado",$G$5:$G$255,"&gt;"&amp;G162)+COUNTIFS($R$5:R162,"Rankeado",$G$5:G162,G162))</x:f>
        <x:v>178</x:v>
      </x:c>
      <x:c r="I162" s="82" t="n">
        <x:f>SUM(J162:O162)</x:f>
        <x:v>314</x:v>
      </x:c>
      <x:c r="J162" s="82" t="n">
        <x:v>50</x:v>
      </x:c>
      <x:c r="K162" s="82" t="n">
        <x:v>65</x:v>
      </x:c>
      <x:c r="L162" s="82" t="n">
        <x:v>64</x:v>
      </x:c>
      <x:c r="M162" s="82" t="n">
        <x:v>44</x:v>
      </x:c>
      <x:c r="N162" s="82" t="n">
        <x:v>48</x:v>
      </x:c>
      <x:c r="O162" s="82" t="n">
        <x:v>43</x:v>
      </x:c>
      <x:c r="P162" s="82" t="str">
        <x:v>Sim</x:v>
      </x:c>
      <x:c r="Q162" s="82" t="str">
        <x:v>Não</x:v>
      </x:c>
      <x:c r="R162" s="82" t="str">
        <x:v>Rankeado</x:v>
      </x:c>
      <x:c r="S162" s="82" t="str">
        <x:v>https://poke.idleworld.online/pokepedia/pokemon/totodile</x:v>
      </x:c>
      <x:c r="T162" s="143" t="n">
        <x:f>MAX(K162,M162)*Metodologia!$B$16</x:f>
        <x:v>84.5</x:v>
      </x:c>
      <x:c r="U162" s="143" t="n">
        <x:f>MIN(K162,M162)*Metodologia!$B$16</x:f>
        <x:v>57.2</x:v>
      </x:c>
      <x:c r="V162" s="144" t="n">
        <x:f>SQRT(J162*AVERAGE(L162,N162)*Metodologia!$B$16)</x:f>
        <x:v>60.332412515993425</x:v>
      </x:c>
    </x:row>
    <x:row r="163" ht="22" customHeight="1">
      <x:c r="A163" s="82" t="n">
        <x:v>159</x:v>
      </x:c>
      <x:c r="B163" s="82" t="str">
        <x:v>Croconaw</x:v>
      </x:c>
      <x:c r="C163" s="82" t="str">
        <x:v>Água</x:v>
      </x:c>
      <x:c r="D163" s="82" t="str">
        <x:v>Seavell</x:v>
      </x:c>
      <x:c r="E163" s="82" t="n">
        <x:v>1</x:v>
      </x:c>
      <x:c r="F163" s="82" t="str">
        <x:f>IF(G163&gt;=80,"S+",IF(G163&gt;=72,"S",IF(G163&gt;=65,"A",IF(G163&gt;=58,"B",IF(G163&gt;=50,"C",IF(G163&gt;=42,"D","E"))))))</x:f>
        <x:v>C</x:v>
      </x:c>
      <x:c r="G163" s="142" t="n">
        <x:f>ROUND(100*(Metodologia!$B$17*(T163/Metodologia!$B$22)+Metodologia!$B$18*(U163/Metodologia!$B$23)+Metodologia!$B$19*(V163/Metodologia!$B$24)+Metodologia!$B$20*(O163/Metodologia!$B$25)+Metodologia!$B$21*(I163/Metodologia!$B$26)),2)</x:f>
        <x:v>50.9</x:v>
      </x:c>
      <x:c r="H163" s="82" t="n">
        <x:f>IF(R163&lt;&gt;"Rankeado","",COUNTIFS($R$5:$R$255,"Rankeado",$G$5:$G$255,"&gt;"&amp;G163)+COUNTIFS($R$5:R163,"Rankeado",$G$5:G163,G163))</x:f>
        <x:v>128</x:v>
      </x:c>
      <x:c r="I163" s="82" t="n">
        <x:f>SUM(J163:O163)</x:f>
        <x:v>405</x:v>
      </x:c>
      <x:c r="J163" s="82" t="n">
        <x:v>65</x:v>
      </x:c>
      <x:c r="K163" s="82" t="n">
        <x:v>80</x:v>
      </x:c>
      <x:c r="L163" s="82" t="n">
        <x:v>80</x:v>
      </x:c>
      <x:c r="M163" s="82" t="n">
        <x:v>59</x:v>
      </x:c>
      <x:c r="N163" s="82" t="n">
        <x:v>63</x:v>
      </x:c>
      <x:c r="O163" s="82" t="n">
        <x:v>58</x:v>
      </x:c>
      <x:c r="P163" s="82" t="str">
        <x:v>Sim</x:v>
      </x:c>
      <x:c r="Q163" s="82" t="str">
        <x:v>Não</x:v>
      </x:c>
      <x:c r="R163" s="82" t="str">
        <x:v>Rankeado</x:v>
      </x:c>
      <x:c r="S163" s="82" t="str">
        <x:v>https://poke.idleworld.online/pokepedia/pokemon/croconaw</x:v>
      </x:c>
      <x:c r="T163" s="143" t="n">
        <x:f>MAX(K163,M163)*Metodologia!$B$16</x:f>
        <x:v>104</x:v>
      </x:c>
      <x:c r="U163" s="143" t="n">
        <x:f>MIN(K163,M163)*Metodologia!$B$16</x:f>
        <x:v>76.7</x:v>
      </x:c>
      <x:c r="V163" s="144" t="n">
        <x:f>SQRT(J163*AVERAGE(L163,N163)*Metodologia!$B$16)</x:f>
        <x:v>77.72869483015909</x:v>
      </x:c>
    </x:row>
    <x:row r="164" ht="22" customHeight="1">
      <x:c r="A164" s="82" t="n">
        <x:v>160</x:v>
      </x:c>
      <x:c r="B164" s="82" t="str">
        <x:v>Feraligatr</x:v>
      </x:c>
      <x:c r="C164" s="82" t="str">
        <x:v>Água</x:v>
      </x:c>
      <x:c r="D164" s="82" t="str">
        <x:v>Seavell</x:v>
      </x:c>
      <x:c r="E164" s="82" t="n">
        <x:v>1</x:v>
      </x:c>
      <x:c r="F164" s="82" t="str">
        <x:f>IF(G164&gt;=80,"S+",IF(G164&gt;=72,"S",IF(G164&gt;=65,"A",IF(G164&gt;=58,"B",IF(G164&gt;=50,"C",IF(G164&gt;=42,"D","E"))))))</x:f>
        <x:v>A</x:v>
      </x:c>
      <x:c r="G164" s="142" t="n">
        <x:f>ROUND(100*(Metodologia!$B$17*(T164/Metodologia!$B$22)+Metodologia!$B$18*(U164/Metodologia!$B$23)+Metodologia!$B$19*(V164/Metodologia!$B$24)+Metodologia!$B$20*(O164/Metodologia!$B$25)+Metodologia!$B$21*(I164/Metodologia!$B$26)),2)</x:f>
        <x:v>66.92</x:v>
      </x:c>
      <x:c r="H164" s="82" t="n">
        <x:f>IF(R164&lt;&gt;"Rankeado","",COUNTIFS($R$5:$R$255,"Rankeado",$G$5:$G$255,"&gt;"&amp;G164)+COUNTIFS($R$5:R164,"Rankeado",$G$5:G164,G164))</x:f>
        <x:v>30</x:v>
      </x:c>
      <x:c r="I164" s="82" t="n">
        <x:f>SUM(J164:O164)</x:f>
        <x:v>530</x:v>
      </x:c>
      <x:c r="J164" s="82" t="n">
        <x:v>85</x:v>
      </x:c>
      <x:c r="K164" s="82" t="n">
        <x:v>105</x:v>
      </x:c>
      <x:c r="L164" s="82" t="n">
        <x:v>100</x:v>
      </x:c>
      <x:c r="M164" s="82" t="n">
        <x:v>79</x:v>
      </x:c>
      <x:c r="N164" s="82" t="n">
        <x:v>83</x:v>
      </x:c>
      <x:c r="O164" s="82" t="n">
        <x:v>78</x:v>
      </x:c>
      <x:c r="P164" s="82" t="str">
        <x:v>Sim</x:v>
      </x:c>
      <x:c r="Q164" s="82" t="str">
        <x:v>Não</x:v>
      </x:c>
      <x:c r="R164" s="82" t="str">
        <x:v>Rankeado</x:v>
      </x:c>
      <x:c r="S164" s="82" t="str">
        <x:v>https://poke.idleworld.online/pokepedia/pokemon/feraligatr</x:v>
      </x:c>
      <x:c r="T164" s="143" t="n">
        <x:f>MAX(K164,M164)*Metodologia!$B$16</x:f>
        <x:v>136.5</x:v>
      </x:c>
      <x:c r="U164" s="143" t="n">
        <x:f>MIN(K164,M164)*Metodologia!$B$16</x:f>
        <x:v>102.7</x:v>
      </x:c>
      <x:c r="V164" s="144" t="n">
        <x:f>SQRT(J164*AVERAGE(L164,N164)*Metodologia!$B$16)</x:f>
        <x:v>100.55222523644119</x:v>
      </x:c>
    </x:row>
    <x:row r="165" ht="22" customHeight="1">
      <x:c r="A165" s="82" t="n">
        <x:v>161</x:v>
      </x:c>
      <x:c r="B165" s="82" t="str">
        <x:v>Sentret</x:v>
      </x:c>
      <x:c r="C165" s="82" t="str">
        <x:v>Normal</x:v>
      </x:c>
      <x:c r="D165" s="82" t="str">
        <x:v>Gardestrike</x:v>
      </x:c>
      <x:c r="E165" s="82" t="n">
        <x:v>1</x:v>
      </x:c>
      <x:c r="F165" s="82" t="str">
        <x:f>IF(G165&gt;=80,"S+",IF(G165&gt;=72,"S",IF(G165&gt;=65,"A",IF(G165&gt;=58,"B",IF(G165&gt;=50,"C",IF(G165&gt;=42,"D","E"))))))</x:f>
        <x:v>E</x:v>
      </x:c>
      <x:c r="G165" s="142" t="n">
        <x:f>ROUND(100*(Metodologia!$B$17*(T165/Metodologia!$B$22)+Metodologia!$B$18*(U165/Metodologia!$B$23)+Metodologia!$B$19*(V165/Metodologia!$B$24)+Metodologia!$B$20*(O165/Metodologia!$B$25)+Metodologia!$B$21*(I165/Metodologia!$B$26)),2)</x:f>
        <x:v>28.12</x:v>
      </x:c>
      <x:c r="H165" s="82" t="n">
        <x:f>IF(R165&lt;&gt;"Rankeado","",COUNTIFS($R$5:$R$255,"Rankeado",$G$5:$G$255,"&gt;"&amp;G165)+COUNTIFS($R$5:R165,"Rankeado",$G$5:G165,G165))</x:f>
        <x:v>223</x:v>
      </x:c>
      <x:c r="I165" s="82" t="n">
        <x:f>SUM(J165:O165)</x:f>
        <x:v>215</x:v>
      </x:c>
      <x:c r="J165" s="82" t="n">
        <x:v>35</x:v>
      </x:c>
      <x:c r="K165" s="82" t="n">
        <x:v>46</x:v>
      </x:c>
      <x:c r="L165" s="82" t="n">
        <x:v>34</x:v>
      </x:c>
      <x:c r="M165" s="82" t="n">
        <x:v>35</x:v>
      </x:c>
      <x:c r="N165" s="82" t="n">
        <x:v>45</x:v>
      </x:c>
      <x:c r="O165" s="82" t="n">
        <x:v>20</x:v>
      </x:c>
      <x:c r="P165" s="82" t="str">
        <x:v>Não</x:v>
      </x:c>
      <x:c r="Q165" s="82" t="str">
        <x:v>Não</x:v>
      </x:c>
      <x:c r="R165" s="82" t="str">
        <x:v>Rankeado</x:v>
      </x:c>
      <x:c r="S165" s="82" t="str">
        <x:v>https://poke.idleworld.online/pokepedia/pokemon/sentret</x:v>
      </x:c>
      <x:c r="T165" s="143" t="n">
        <x:f>MAX(K165,M165)*Metodologia!$B$16</x:f>
        <x:v>59.800000000000004</x:v>
      </x:c>
      <x:c r="U165" s="143" t="n">
        <x:f>MIN(K165,M165)*Metodologia!$B$16</x:f>
        <x:v>45.5</x:v>
      </x:c>
      <x:c r="V165" s="144" t="n">
        <x:f>SQRT(J165*AVERAGE(L165,N165)*Metodologia!$B$16)</x:f>
        <x:v>42.39398542246294</x:v>
      </x:c>
    </x:row>
    <x:row r="166" ht="22" customHeight="1">
      <x:c r="A166" s="82" t="n">
        <x:v>162</x:v>
      </x:c>
      <x:c r="B166" s="82" t="str">
        <x:v>Furret</x:v>
      </x:c>
      <x:c r="C166" s="82" t="str">
        <x:v>Normal</x:v>
      </x:c>
      <x:c r="D166" s="82" t="str">
        <x:v>Gardestrike</x:v>
      </x:c>
      <x:c r="E166" s="82" t="n">
        <x:v>1</x:v>
      </x:c>
      <x:c r="F166" s="82" t="str">
        <x:f>IF(G166&gt;=80,"S+",IF(G166&gt;=72,"S",IF(G166&gt;=65,"A",IF(G166&gt;=58,"B",IF(G166&gt;=50,"C",IF(G166&gt;=42,"D","E"))))))</x:f>
        <x:v>C</x:v>
      </x:c>
      <x:c r="G166" s="142" t="n">
        <x:f>ROUND(100*(Metodologia!$B$17*(T166/Metodologia!$B$22)+Metodologia!$B$18*(U166/Metodologia!$B$23)+Metodologia!$B$19*(V166/Metodologia!$B$24)+Metodologia!$B$20*(O166/Metodologia!$B$25)+Metodologia!$B$21*(I166/Metodologia!$B$26)),2)</x:f>
        <x:v>50.6</x:v>
      </x:c>
      <x:c r="H166" s="82" t="n">
        <x:f>IF(R166&lt;&gt;"Rankeado","",COUNTIFS($R$5:$R$255,"Rankeado",$G$5:$G$255,"&gt;"&amp;G166)+COUNTIFS($R$5:R166,"Rankeado",$G$5:G166,G166))</x:f>
        <x:v>130</x:v>
      </x:c>
      <x:c r="I166" s="82" t="n">
        <x:f>SUM(J166:O166)</x:f>
        <x:v>415</x:v>
      </x:c>
      <x:c r="J166" s="82" t="n">
        <x:v>85</x:v>
      </x:c>
      <x:c r="K166" s="82" t="n">
        <x:v>76</x:v>
      </x:c>
      <x:c r="L166" s="82" t="n">
        <x:v>64</x:v>
      </x:c>
      <x:c r="M166" s="82" t="n">
        <x:v>45</x:v>
      </x:c>
      <x:c r="N166" s="82" t="n">
        <x:v>55</x:v>
      </x:c>
      <x:c r="O166" s="82" t="n">
        <x:v>90</x:v>
      </x:c>
      <x:c r="P166" s="82" t="str">
        <x:v>Não</x:v>
      </x:c>
      <x:c r="Q166" s="82" t="str">
        <x:v>Não</x:v>
      </x:c>
      <x:c r="R166" s="82" t="str">
        <x:v>Rankeado</x:v>
      </x:c>
      <x:c r="S166" s="82" t="str">
        <x:v>https://poke.idleworld.online/pokepedia/pokemon/furret</x:v>
      </x:c>
      <x:c r="T166" s="143" t="n">
        <x:f>MAX(K166,M166)*Metodologia!$B$16</x:f>
        <x:v>98.8</x:v>
      </x:c>
      <x:c r="U166" s="143" t="n">
        <x:f>MIN(K166,M166)*Metodologia!$B$16</x:f>
        <x:v>58.5</x:v>
      </x:c>
      <x:c r="V166" s="144" t="n">
        <x:f>SQRT(J166*AVERAGE(L166,N166)*Metodologia!$B$16)</x:f>
        <x:v>81.08483212044038</x:v>
      </x:c>
    </x:row>
    <x:row r="167" ht="22" customHeight="1">
      <x:c r="A167" s="82" t="n">
        <x:v>163</x:v>
      </x:c>
      <x:c r="B167" s="82" t="str">
        <x:v>Hoothoot</x:v>
      </x:c>
      <x:c r="C167" s="82" t="str">
        <x:v>Normal / Voador</x:v>
      </x:c>
      <x:c r="D167" s="82" t="str">
        <x:v>Gardestrike / Wingeon</x:v>
      </x:c>
      <x:c r="E167" s="82" t="n">
        <x:v>2</x:v>
      </x:c>
      <x:c r="F167" s="82" t="str">
        <x:f>IF(G167&gt;=80,"S+",IF(G167&gt;=72,"S",IF(G167&gt;=65,"A",IF(G167&gt;=58,"B",IF(G167&gt;=50,"C",IF(G167&gt;=42,"D","E"))))))</x:f>
        <x:v>E</x:v>
      </x:c>
      <x:c r="G167" s="142" t="n">
        <x:f>ROUND(100*(Metodologia!$B$17*(T167/Metodologia!$B$22)+Metodologia!$B$18*(U167/Metodologia!$B$23)+Metodologia!$B$19*(V167/Metodologia!$B$24)+Metodologia!$B$20*(O167/Metodologia!$B$25)+Metodologia!$B$21*(I167/Metodologia!$B$26)),2)</x:f>
        <x:v>27.62</x:v>
      </x:c>
      <x:c r="H167" s="82" t="n">
        <x:f>IF(R167&lt;&gt;"Rankeado","",COUNTIFS($R$5:$R$255,"Rankeado",$G$5:$G$255,"&gt;"&amp;G167)+COUNTIFS($R$5:R167,"Rankeado",$G$5:G167,G167))</x:f>
        <x:v>224</x:v>
      </x:c>
      <x:c r="I167" s="82" t="n">
        <x:f>SUM(J167:O167)</x:f>
        <x:v>262</x:v>
      </x:c>
      <x:c r="J167" s="82" t="n">
        <x:v>60</x:v>
      </x:c>
      <x:c r="K167" s="82" t="n">
        <x:v>30</x:v>
      </x:c>
      <x:c r="L167" s="82" t="n">
        <x:v>30</x:v>
      </x:c>
      <x:c r="M167" s="82" t="n">
        <x:v>36</x:v>
      </x:c>
      <x:c r="N167" s="82" t="n">
        <x:v>56</x:v>
      </x:c>
      <x:c r="O167" s="82" t="n">
        <x:v>50</x:v>
      </x:c>
      <x:c r="P167" s="82" t="str">
        <x:v>Não</x:v>
      </x:c>
      <x:c r="Q167" s="82" t="str">
        <x:v>Não</x:v>
      </x:c>
      <x:c r="R167" s="82" t="str">
        <x:v>Rankeado</x:v>
      </x:c>
      <x:c r="S167" s="82" t="str">
        <x:v>https://poke.idleworld.online/pokepedia/pokemon/hoothoot</x:v>
      </x:c>
      <x:c r="T167" s="143" t="n">
        <x:f>MAX(K167,M167)*Metodologia!$B$16</x:f>
        <x:v>46.800000000000004</x:v>
      </x:c>
      <x:c r="U167" s="143" t="n">
        <x:f>MIN(K167,M167)*Metodologia!$B$16</x:f>
        <x:v>39</x:v>
      </x:c>
      <x:c r="V167" s="144" t="n">
        <x:f>SQRT(J167*AVERAGE(L167,N167)*Metodologia!$B$16)</x:f>
        <x:v>57.91372894228103</x:v>
      </x:c>
    </x:row>
    <x:row r="168" ht="22" customHeight="1">
      <x:c r="A168" s="82" t="n">
        <x:v>164</x:v>
      </x:c>
      <x:c r="B168" s="82" t="str">
        <x:v>Noctowl</x:v>
      </x:c>
      <x:c r="C168" s="82" t="str">
        <x:v>Normal / Voador</x:v>
      </x:c>
      <x:c r="D168" s="82" t="str">
        <x:v>Gardestrike / Wingeon</x:v>
      </x:c>
      <x:c r="E168" s="82" t="n">
        <x:v>2</x:v>
      </x:c>
      <x:c r="F168" s="82" t="str">
        <x:f>IF(G168&gt;=80,"S+",IF(G168&gt;=72,"S",IF(G168&gt;=65,"A",IF(G168&gt;=58,"B",IF(G168&gt;=50,"C",IF(G168&gt;=42,"D","E"))))))</x:f>
        <x:v>C</x:v>
      </x:c>
      <x:c r="G168" s="142" t="n">
        <x:f>ROUND(100*(Metodologia!$B$17*(T168/Metodologia!$B$22)+Metodologia!$B$18*(U168/Metodologia!$B$23)+Metodologia!$B$19*(V168/Metodologia!$B$24)+Metodologia!$B$20*(O168/Metodologia!$B$25)+Metodologia!$B$21*(I168/Metodologia!$B$26)),2)</x:f>
        <x:v>55.47</x:v>
      </x:c>
      <x:c r="H168" s="82" t="n">
        <x:f>IF(R168&lt;&gt;"Rankeado","",COUNTIFS($R$5:$R$255,"Rankeado",$G$5:$G$255,"&gt;"&amp;G168)+COUNTIFS($R$5:R168,"Rankeado",$G$5:G168,G168))</x:f>
        <x:v>92</x:v>
      </x:c>
      <x:c r="I168" s="82" t="n">
        <x:f>SUM(J168:O168)</x:f>
        <x:v>452</x:v>
      </x:c>
      <x:c r="J168" s="82" t="n">
        <x:v>100</x:v>
      </x:c>
      <x:c r="K168" s="82" t="n">
        <x:v>50</x:v>
      </x:c>
      <x:c r="L168" s="82" t="n">
        <x:v>50</x:v>
      </x:c>
      <x:c r="M168" s="82" t="n">
        <x:v>86</x:v>
      </x:c>
      <x:c r="N168" s="82" t="n">
        <x:v>96</x:v>
      </x:c>
      <x:c r="O168" s="82" t="n">
        <x:v>70</x:v>
      </x:c>
      <x:c r="P168" s="82" t="str">
        <x:v>Sim</x:v>
      </x:c>
      <x:c r="Q168" s="82" t="str">
        <x:v>Não</x:v>
      </x:c>
      <x:c r="R168" s="82" t="str">
        <x:v>Rankeado</x:v>
      </x:c>
      <x:c r="S168" s="82" t="str">
        <x:v>https://poke.idleworld.online/pokepedia/pokemon/noctowl</x:v>
      </x:c>
      <x:c r="T168" s="143" t="n">
        <x:f>MAX(K168,M168)*Metodologia!$B$16</x:f>
        <x:v>111.8</x:v>
      </x:c>
      <x:c r="U168" s="143" t="n">
        <x:f>MIN(K168,M168)*Metodologia!$B$16</x:f>
        <x:v>65</x:v>
      </x:c>
      <x:c r="V168" s="144" t="n">
        <x:f>SQRT(J168*AVERAGE(L168,N168)*Metodologia!$B$16)</x:f>
        <x:v>97.41663102366043</x:v>
      </x:c>
    </x:row>
    <x:row r="169" ht="22" customHeight="1">
      <x:c r="A169" s="82" t="n">
        <x:v>165</x:v>
      </x:c>
      <x:c r="B169" s="82" t="str">
        <x:v>Ledyba</x:v>
      </x:c>
      <x:c r="C169" s="82" t="str">
        <x:v>Inseto / Voador</x:v>
      </x:c>
      <x:c r="D169" s="82" t="str">
        <x:v>Naturia / Wingeon</x:v>
      </x:c>
      <x:c r="E169" s="82" t="n">
        <x:v>2</x:v>
      </x:c>
      <x:c r="F169" s="82" t="str">
        <x:f>IF(G169&gt;=80,"S+",IF(G169&gt;=72,"S",IF(G169&gt;=65,"A",IF(G169&gt;=58,"B",IF(G169&gt;=50,"C",IF(G169&gt;=42,"D","E"))))))</x:f>
        <x:v>E</x:v>
      </x:c>
      <x:c r="G169" s="142" t="n">
        <x:f>ROUND(100*(Metodologia!$B$17*(T169/Metodologia!$B$22)+Metodologia!$B$18*(U169/Metodologia!$B$23)+Metodologia!$B$19*(V169/Metodologia!$B$24)+Metodologia!$B$20*(O169/Metodologia!$B$25)+Metodologia!$B$21*(I169/Metodologia!$B$26)),2)</x:f>
        <x:v>28.19</x:v>
      </x:c>
      <x:c r="H169" s="82" t="n">
        <x:f>IF(R169&lt;&gt;"Rankeado","",COUNTIFS($R$5:$R$255,"Rankeado",$G$5:$G$255,"&gt;"&amp;G169)+COUNTIFS($R$5:R169,"Rankeado",$G$5:G169,G169))</x:f>
        <x:v>222</x:v>
      </x:c>
      <x:c r="I169" s="82" t="n">
        <x:f>SUM(J169:O169)</x:f>
        <x:v>265</x:v>
      </x:c>
      <x:c r="J169" s="82" t="n">
        <x:v>40</x:v>
      </x:c>
      <x:c r="K169" s="82" t="n">
        <x:v>20</x:v>
      </x:c>
      <x:c r="L169" s="82" t="n">
        <x:v>30</x:v>
      </x:c>
      <x:c r="M169" s="82" t="n">
        <x:v>40</x:v>
      </x:c>
      <x:c r="N169" s="82" t="n">
        <x:v>80</x:v>
      </x:c>
      <x:c r="O169" s="82" t="n">
        <x:v>55</x:v>
      </x:c>
      <x:c r="P169" s="82" t="str">
        <x:v>Não</x:v>
      </x:c>
      <x:c r="Q169" s="82" t="str">
        <x:v>Não</x:v>
      </x:c>
      <x:c r="R169" s="82" t="str">
        <x:v>Rankeado</x:v>
      </x:c>
      <x:c r="S169" s="82" t="str">
        <x:v>https://poke.idleworld.online/pokepedia/pokemon/ledyba</x:v>
      </x:c>
      <x:c r="T169" s="143" t="n">
        <x:f>MAX(K169,M169)*Metodologia!$B$16</x:f>
        <x:v>52</x:v>
      </x:c>
      <x:c r="U169" s="143" t="n">
        <x:f>MIN(K169,M169)*Metodologia!$B$16</x:f>
        <x:v>26</x:v>
      </x:c>
      <x:c r="V169" s="144" t="n">
        <x:f>SQRT(J169*AVERAGE(L169,N169)*Metodologia!$B$16)</x:f>
        <x:v>53.47896782848375</x:v>
      </x:c>
    </x:row>
    <x:row r="170" ht="22" customHeight="1">
      <x:c r="A170" s="82" t="n">
        <x:v>166</x:v>
      </x:c>
      <x:c r="B170" s="82" t="str">
        <x:v>Ledian</x:v>
      </x:c>
      <x:c r="C170" s="82" t="str">
        <x:v>Inseto / Voador</x:v>
      </x:c>
      <x:c r="D170" s="82" t="str">
        <x:v>Naturia / Wingeon</x:v>
      </x:c>
      <x:c r="E170" s="82" t="n">
        <x:v>2</x:v>
      </x:c>
      <x:c r="F170" s="82" t="str">
        <x:f>IF(G170&gt;=80,"S+",IF(G170&gt;=72,"S",IF(G170&gt;=65,"A",IF(G170&gt;=58,"B",IF(G170&gt;=50,"C",IF(G170&gt;=42,"D","E"))))))</x:f>
        <x:v>E</x:v>
      </x:c>
      <x:c r="G170" s="142" t="n">
        <x:f>ROUND(100*(Metodologia!$B$17*(T170/Metodologia!$B$22)+Metodologia!$B$18*(U170/Metodologia!$B$23)+Metodologia!$B$19*(V170/Metodologia!$B$24)+Metodologia!$B$20*(O170/Metodologia!$B$25)+Metodologia!$B$21*(I170/Metodologia!$B$26)),2)</x:f>
        <x:v>40.46</x:v>
      </x:c>
      <x:c r="H170" s="82" t="n">
        <x:f>IF(R170&lt;&gt;"Rankeado","",COUNTIFS($R$5:$R$255,"Rankeado",$G$5:$G$255,"&gt;"&amp;G170)+COUNTIFS($R$5:R170,"Rankeado",$G$5:G170,G170))</x:f>
        <x:v>177</x:v>
      </x:c>
      <x:c r="I170" s="82" t="n">
        <x:f>SUM(J170:O170)</x:f>
        <x:v>390</x:v>
      </x:c>
      <x:c r="J170" s="82" t="n">
        <x:v>55</x:v>
      </x:c>
      <x:c r="K170" s="82" t="n">
        <x:v>35</x:v>
      </x:c>
      <x:c r="L170" s="82" t="n">
        <x:v>50</x:v>
      </x:c>
      <x:c r="M170" s="82" t="n">
        <x:v>55</x:v>
      </x:c>
      <x:c r="N170" s="82" t="n">
        <x:v>110</x:v>
      </x:c>
      <x:c r="O170" s="82" t="n">
        <x:v>85</x:v>
      </x:c>
      <x:c r="P170" s="82" t="str">
        <x:v>Não</x:v>
      </x:c>
      <x:c r="Q170" s="82" t="str">
        <x:v>Não</x:v>
      </x:c>
      <x:c r="R170" s="82" t="str">
        <x:v>Rankeado</x:v>
      </x:c>
      <x:c r="S170" s="82" t="str">
        <x:v>https://poke.idleworld.online/pokepedia/pokemon/ledian</x:v>
      </x:c>
      <x:c r="T170" s="143" t="n">
        <x:f>MAX(K170,M170)*Metodologia!$B$16</x:f>
        <x:v>71.5</x:v>
      </x:c>
      <x:c r="U170" s="143" t="n">
        <x:f>MIN(K170,M170)*Metodologia!$B$16</x:f>
        <x:v>45.5</x:v>
      </x:c>
      <x:c r="V170" s="144" t="n">
        <x:f>SQRT(J170*AVERAGE(L170,N170)*Metodologia!$B$16)</x:f>
        <x:v>75.63068160475615</x:v>
      </x:c>
    </x:row>
    <x:row r="171" ht="22" customHeight="1">
      <x:c r="A171" s="82" t="n">
        <x:v>167</x:v>
      </x:c>
      <x:c r="B171" s="82" t="str">
        <x:v>Spinarak</x:v>
      </x:c>
      <x:c r="C171" s="82" t="str">
        <x:v>Inseto / Veneno</x:v>
      </x:c>
      <x:c r="D171" s="82" t="str">
        <x:v>Naturia / Malefic</x:v>
      </x:c>
      <x:c r="E171" s="82" t="n">
        <x:v>2</x:v>
      </x:c>
      <x:c r="F171" s="82" t="str">
        <x:f>IF(G171&gt;=80,"S+",IF(G171&gt;=72,"S",IF(G171&gt;=65,"A",IF(G171&gt;=58,"B",IF(G171&gt;=50,"C",IF(G171&gt;=42,"D","E"))))))</x:f>
        <x:v>E</x:v>
      </x:c>
      <x:c r="G171" s="142" t="n">
        <x:f>ROUND(100*(Metodologia!$B$17*(T171/Metodologia!$B$22)+Metodologia!$B$18*(U171/Metodologia!$B$23)+Metodologia!$B$19*(V171/Metodologia!$B$24)+Metodologia!$B$20*(O171/Metodologia!$B$25)+Metodologia!$B$21*(I171/Metodologia!$B$26)),2)</x:f>
        <x:v>35.26</x:v>
      </x:c>
      <x:c r="H171" s="82" t="n">
        <x:f>IF(R171&lt;&gt;"Rankeado","",COUNTIFS($R$5:$R$255,"Rankeado",$G$5:$G$255,"&gt;"&amp;G171)+COUNTIFS($R$5:R171,"Rankeado",$G$5:G171,G171))</x:f>
        <x:v>203</x:v>
      </x:c>
      <x:c r="I171" s="82" t="n">
        <x:f>SUM(J171:O171)</x:f>
        <x:v>250</x:v>
      </x:c>
      <x:c r="J171" s="82" t="n">
        <x:v>40</x:v>
      </x:c>
      <x:c r="K171" s="82" t="n">
        <x:v>60</x:v>
      </x:c>
      <x:c r="L171" s="82" t="n">
        <x:v>40</x:v>
      </x:c>
      <x:c r="M171" s="82" t="n">
        <x:v>40</x:v>
      </x:c>
      <x:c r="N171" s="82" t="n">
        <x:v>40</x:v>
      </x:c>
      <x:c r="O171" s="82" t="n">
        <x:v>30</x:v>
      </x:c>
      <x:c r="P171" s="82" t="str">
        <x:v>Não</x:v>
      </x:c>
      <x:c r="Q171" s="82" t="str">
        <x:v>Não</x:v>
      </x:c>
      <x:c r="R171" s="82" t="str">
        <x:v>Rankeado</x:v>
      </x:c>
      <x:c r="S171" s="82" t="str">
        <x:v>https://poke.idleworld.online/pokepedia/pokemon/spinarak</x:v>
      </x:c>
      <x:c r="T171" s="143" t="n">
        <x:f>MAX(K171,M171)*Metodologia!$B$16</x:f>
        <x:v>78</x:v>
      </x:c>
      <x:c r="U171" s="143" t="n">
        <x:f>MIN(K171,M171)*Metodologia!$B$16</x:f>
        <x:v>52</x:v>
      </x:c>
      <x:c r="V171" s="144" t="n">
        <x:f>SQRT(J171*AVERAGE(L171,N171)*Metodologia!$B$16)</x:f>
        <x:v>45.60701700396552</x:v>
      </x:c>
    </x:row>
    <x:row r="172" ht="22" customHeight="1">
      <x:c r="A172" s="82" t="n">
        <x:v>168</x:v>
      </x:c>
      <x:c r="B172" s="82" t="str">
        <x:v>Ariados</x:v>
      </x:c>
      <x:c r="C172" s="82" t="str">
        <x:v>Inseto / Veneno</x:v>
      </x:c>
      <x:c r="D172" s="82" t="str">
        <x:v>Naturia / Malefic</x:v>
      </x:c>
      <x:c r="E172" s="82" t="n">
        <x:v>2</x:v>
      </x:c>
      <x:c r="F172" s="82" t="str">
        <x:f>IF(G172&gt;=80,"S+",IF(G172&gt;=72,"S",IF(G172&gt;=65,"A",IF(G172&gt;=58,"B",IF(G172&gt;=50,"C",IF(G172&gt;=42,"D","E"))))))</x:f>
        <x:v>C</x:v>
      </x:c>
      <x:c r="G172" s="142" t="n">
        <x:f>ROUND(100*(Metodologia!$B$17*(T172/Metodologia!$B$22)+Metodologia!$B$18*(U172/Metodologia!$B$23)+Metodologia!$B$19*(V172/Metodologia!$B$24)+Metodologia!$B$20*(O172/Metodologia!$B$25)+Metodologia!$B$21*(I172/Metodologia!$B$26)),2)</x:f>
        <x:v>53.85</x:v>
      </x:c>
      <x:c r="H172" s="82" t="n">
        <x:f>IF(R172&lt;&gt;"Rankeado","",COUNTIFS($R$5:$R$255,"Rankeado",$G$5:$G$255,"&gt;"&amp;G172)+COUNTIFS($R$5:R172,"Rankeado",$G$5:G172,G172))</x:f>
        <x:v>106</x:v>
      </x:c>
      <x:c r="I172" s="82" t="n">
        <x:f>SUM(J172:O172)</x:f>
        <x:v>400</x:v>
      </x:c>
      <x:c r="J172" s="82" t="n">
        <x:v>70</x:v>
      </x:c>
      <x:c r="K172" s="82" t="n">
        <x:v>90</x:v>
      </x:c>
      <x:c r="L172" s="82" t="n">
        <x:v>70</x:v>
      </x:c>
      <x:c r="M172" s="82" t="n">
        <x:v>60</x:v>
      </x:c>
      <x:c r="N172" s="82" t="n">
        <x:v>70</x:v>
      </x:c>
      <x:c r="O172" s="82" t="n">
        <x:v>40</x:v>
      </x:c>
      <x:c r="P172" s="82" t="str">
        <x:v>Não</x:v>
      </x:c>
      <x:c r="Q172" s="82" t="str">
        <x:v>Não</x:v>
      </x:c>
      <x:c r="R172" s="82" t="str">
        <x:v>Rankeado</x:v>
      </x:c>
      <x:c r="S172" s="82" t="str">
        <x:v>https://poke.idleworld.online/pokepedia/pokemon/ariados</x:v>
      </x:c>
      <x:c r="T172" s="143" t="n">
        <x:f>MAX(K172,M172)*Metodologia!$B$16</x:f>
        <x:v>117</x:v>
      </x:c>
      <x:c r="U172" s="143" t="n">
        <x:f>MIN(K172,M172)*Metodologia!$B$16</x:f>
        <x:v>78</x:v>
      </x:c>
      <x:c r="V172" s="144" t="n">
        <x:f>SQRT(J172*AVERAGE(L172,N172)*Metodologia!$B$16)</x:f>
        <x:v>79.81227975693966</x:v>
      </x:c>
    </x:row>
    <x:row r="173" ht="22" customHeight="1">
      <x:c r="A173" s="82" t="n">
        <x:v>169</x:v>
      </x:c>
      <x:c r="B173" s="82" t="str">
        <x:v>Crobat</x:v>
      </x:c>
      <x:c r="C173" s="82" t="str">
        <x:v>Veneno / Voador</x:v>
      </x:c>
      <x:c r="D173" s="82" t="str">
        <x:v>Wingeon / Malefic</x:v>
      </x:c>
      <x:c r="E173" s="82" t="n">
        <x:v>2</x:v>
      </x:c>
      <x:c r="F173" s="82" t="str">
        <x:f>IF(G173&gt;=80,"S+",IF(G173&gt;=72,"S",IF(G173&gt;=65,"A",IF(G173&gt;=58,"B",IF(G173&gt;=50,"C",IF(G173&gt;=42,"D","E"))))))</x:f>
        <x:v>B</x:v>
      </x:c>
      <x:c r="G173" s="142" t="n">
        <x:f>ROUND(100*(Metodologia!$B$17*(T173/Metodologia!$B$22)+Metodologia!$B$18*(U173/Metodologia!$B$23)+Metodologia!$B$19*(V173/Metodologia!$B$24)+Metodologia!$B$20*(O173/Metodologia!$B$25)+Metodologia!$B$21*(I173/Metodologia!$B$26)),2)</x:f>
        <x:v>63.13</x:v>
      </x:c>
      <x:c r="H173" s="82" t="n">
        <x:f>IF(R173&lt;&gt;"Rankeado","",COUNTIFS($R$5:$R$255,"Rankeado",$G$5:$G$255,"&gt;"&amp;G173)+COUNTIFS($R$5:R173,"Rankeado",$G$5:G173,G173))</x:f>
        <x:v>50</x:v>
      </x:c>
      <x:c r="I173" s="82" t="n">
        <x:f>SUM(J173:O173)</x:f>
        <x:v>535</x:v>
      </x:c>
      <x:c r="J173" s="82" t="n">
        <x:v>85</x:v>
      </x:c>
      <x:c r="K173" s="82" t="n">
        <x:v>90</x:v>
      </x:c>
      <x:c r="L173" s="82" t="n">
        <x:v>80</x:v>
      </x:c>
      <x:c r="M173" s="82" t="n">
        <x:v>70</x:v>
      </x:c>
      <x:c r="N173" s="82" t="n">
        <x:v>80</x:v>
      </x:c>
      <x:c r="O173" s="82" t="n">
        <x:v>130</x:v>
      </x:c>
      <x:c r="P173" s="82" t="str">
        <x:v>Sim</x:v>
      </x:c>
      <x:c r="Q173" s="82" t="str">
        <x:v>Não</x:v>
      </x:c>
      <x:c r="R173" s="82" t="str">
        <x:v>Rankeado</x:v>
      </x:c>
      <x:c r="S173" s="82" t="str">
        <x:v>https://poke.idleworld.online/pokepedia/pokemon/crobat</x:v>
      </x:c>
      <x:c r="T173" s="143" t="n">
        <x:f>MAX(K173,M173)*Metodologia!$B$16</x:f>
        <x:v>117</x:v>
      </x:c>
      <x:c r="U173" s="143" t="n">
        <x:f>MIN(K173,M173)*Metodologia!$B$16</x:f>
        <x:v>91</x:v>
      </x:c>
      <x:c r="V173" s="144" t="n">
        <x:f>SQRT(J173*AVERAGE(L173,N173)*Metodologia!$B$16)</x:f>
        <x:v>94.02127418834527</x:v>
      </x:c>
    </x:row>
    <x:row r="174" ht="22" customHeight="1">
      <x:c r="A174" s="82" t="n">
        <x:v>170</x:v>
      </x:c>
      <x:c r="B174" s="82" t="str">
        <x:v>Chinchou</x:v>
      </x:c>
      <x:c r="C174" s="82" t="str">
        <x:v>Água / Elétrico</x:v>
      </x:c>
      <x:c r="D174" s="82" t="str">
        <x:v>Raibolt / Seavell</x:v>
      </x:c>
      <x:c r="E174" s="82" t="n">
        <x:v>2</x:v>
      </x:c>
      <x:c r="F174" s="82" t="str">
        <x:f>IF(G174&gt;=80,"S+",IF(G174&gt;=72,"S",IF(G174&gt;=65,"A",IF(G174&gt;=58,"B",IF(G174&gt;=50,"C",IF(G174&gt;=42,"D","E"))))))</x:f>
        <x:v>E</x:v>
      </x:c>
      <x:c r="G174" s="142" t="n">
        <x:f>ROUND(100*(Metodologia!$B$17*(T174/Metodologia!$B$22)+Metodologia!$B$18*(U174/Metodologia!$B$23)+Metodologia!$B$19*(V174/Metodologia!$B$24)+Metodologia!$B$20*(O174/Metodologia!$B$25)+Metodologia!$B$21*(I174/Metodologia!$B$26)),2)</x:f>
        <x:v>38.72</x:v>
      </x:c>
      <x:c r="H174" s="82" t="n">
        <x:f>IF(R174&lt;&gt;"Rankeado","",COUNTIFS($R$5:$R$255,"Rankeado",$G$5:$G$255,"&gt;"&amp;G174)+COUNTIFS($R$5:R174,"Rankeado",$G$5:G174,G174))</x:f>
        <x:v>189</x:v>
      </x:c>
      <x:c r="I174" s="82" t="n">
        <x:f>SUM(J174:O174)</x:f>
        <x:v>330</x:v>
      </x:c>
      <x:c r="J174" s="82" t="n">
        <x:v>75</x:v>
      </x:c>
      <x:c r="K174" s="82" t="n">
        <x:v>38</x:v>
      </x:c>
      <x:c r="L174" s="82" t="n">
        <x:v>38</x:v>
      </x:c>
      <x:c r="M174" s="82" t="n">
        <x:v>56</x:v>
      </x:c>
      <x:c r="N174" s="82" t="n">
        <x:v>56</x:v>
      </x:c>
      <x:c r="O174" s="82" t="n">
        <x:v>67</x:v>
      </x:c>
      <x:c r="P174" s="82" t="str">
        <x:v>Sim</x:v>
      </x:c>
      <x:c r="Q174" s="82" t="str">
        <x:v>Não</x:v>
      </x:c>
      <x:c r="R174" s="82" t="str">
        <x:v>Rankeado</x:v>
      </x:c>
      <x:c r="S174" s="82" t="str">
        <x:v>https://poke.idleworld.online/pokepedia/pokemon/chinchou</x:v>
      </x:c>
      <x:c r="T174" s="143" t="n">
        <x:f>MAX(K174,M174)*Metodologia!$B$16</x:f>
        <x:v>72.8</x:v>
      </x:c>
      <x:c r="U174" s="143" t="n">
        <x:f>MIN(K174,M174)*Metodologia!$B$16</x:f>
        <x:v>49.4</x:v>
      </x:c>
      <x:c r="V174" s="144" t="n">
        <x:f>SQRT(J174*AVERAGE(L174,N174)*Metodologia!$B$16)</x:f>
        <x:v>67.6941651843052</x:v>
      </x:c>
    </x:row>
    <x:row r="175" ht="22" customHeight="1">
      <x:c r="A175" s="82" t="n">
        <x:v>171</x:v>
      </x:c>
      <x:c r="B175" s="82" t="str">
        <x:v>Lanturn</x:v>
      </x:c>
      <x:c r="C175" s="82" t="str">
        <x:v>Água / Elétrico</x:v>
      </x:c>
      <x:c r="D175" s="82" t="str">
        <x:v>Raibolt / Seavell</x:v>
      </x:c>
      <x:c r="E175" s="82" t="n">
        <x:v>2</x:v>
      </x:c>
      <x:c r="F175" s="82" t="str">
        <x:f>IF(G175&gt;=80,"S+",IF(G175&gt;=72,"S",IF(G175&gt;=65,"A",IF(G175&gt;=58,"B",IF(G175&gt;=50,"C",IF(G175&gt;=42,"D","E"))))))</x:f>
        <x:v>C</x:v>
      </x:c>
      <x:c r="G175" s="142" t="n">
        <x:f>ROUND(100*(Metodologia!$B$17*(T175/Metodologia!$B$22)+Metodologia!$B$18*(U175/Metodologia!$B$23)+Metodologia!$B$19*(V175/Metodologia!$B$24)+Metodologia!$B$20*(O175/Metodologia!$B$25)+Metodologia!$B$21*(I175/Metodologia!$B$26)),2)</x:f>
        <x:v>52.83</x:v>
      </x:c>
      <x:c r="H175" s="82" t="n">
        <x:f>IF(R175&lt;&gt;"Rankeado","",COUNTIFS($R$5:$R$255,"Rankeado",$G$5:$G$255,"&gt;"&amp;G175)+COUNTIFS($R$5:R175,"Rankeado",$G$5:G175,G175))</x:f>
        <x:v>116</x:v>
      </x:c>
      <x:c r="I175" s="82" t="n">
        <x:f>SUM(J175:O175)</x:f>
        <x:v>460</x:v>
      </x:c>
      <x:c r="J175" s="82" t="n">
        <x:v>125</x:v>
      </x:c>
      <x:c r="K175" s="82" t="n">
        <x:v>58</x:v>
      </x:c>
      <x:c r="L175" s="82" t="n">
        <x:v>58</x:v>
      </x:c>
      <x:c r="M175" s="82" t="n">
        <x:v>76</x:v>
      </x:c>
      <x:c r="N175" s="82" t="n">
        <x:v>76</x:v>
      </x:c>
      <x:c r="O175" s="82" t="n">
        <x:v>67</x:v>
      </x:c>
      <x:c r="P175" s="82" t="str">
        <x:v>Sim</x:v>
      </x:c>
      <x:c r="Q175" s="82" t="str">
        <x:v>Não</x:v>
      </x:c>
      <x:c r="R175" s="82" t="str">
        <x:v>Rankeado</x:v>
      </x:c>
      <x:c r="S175" s="82" t="str">
        <x:v>https://poke.idleworld.online/pokepedia/pokemon/lanturn</x:v>
      </x:c>
      <x:c r="T175" s="143" t="n">
        <x:f>MAX(K175,M175)*Metodologia!$B$16</x:f>
        <x:v>98.8</x:v>
      </x:c>
      <x:c r="U175" s="143" t="n">
        <x:f>MIN(K175,M175)*Metodologia!$B$16</x:f>
        <x:v>75.4</x:v>
      </x:c>
      <x:c r="V175" s="144" t="n">
        <x:f>SQRT(J175*AVERAGE(L175,N175)*Metodologia!$B$16)</x:f>
        <x:v>104.34318377354603</x:v>
      </x:c>
    </x:row>
    <x:row r="176" ht="22" customHeight="1">
      <x:c r="A176" s="82" t="n">
        <x:v>172</x:v>
      </x:c>
      <x:c r="B176" s="82" t="str">
        <x:v>Pichu</x:v>
      </x:c>
      <x:c r="C176" s="82" t="str">
        <x:v>Elétrico</x:v>
      </x:c>
      <x:c r="D176" s="82" t="str">
        <x:v>Raibolt</x:v>
      </x:c>
      <x:c r="E176" s="82" t="n">
        <x:v>1</x:v>
      </x:c>
      <x:c r="F176" s="82" t="str">
        <x:f>IF(G176&gt;=80,"S+",IF(G176&gt;=72,"S",IF(G176&gt;=65,"A",IF(G176&gt;=58,"B",IF(G176&gt;=50,"C",IF(G176&gt;=42,"D","E"))))))</x:f>
        <x:v>E</x:v>
      </x:c>
      <x:c r="G176" s="142" t="n">
        <x:f>ROUND(100*(Metodologia!$B$17*(T176/Metodologia!$B$22)+Metodologia!$B$18*(U176/Metodologia!$B$23)+Metodologia!$B$19*(V176/Metodologia!$B$24)+Metodologia!$B$20*(O176/Metodologia!$B$25)+Metodologia!$B$21*(I176/Metodologia!$B$26)),2)</x:f>
        <x:v>26.74</x:v>
      </x:c>
      <x:c r="H176" s="82" t="n">
        <x:f>IF(R176&lt;&gt;"Rankeado","",COUNTIFS($R$5:$R$255,"Rankeado",$G$5:$G$255,"&gt;"&amp;G176)+COUNTIFS($R$5:R176,"Rankeado",$G$5:G176,G176))</x:f>
        <x:v>227</x:v>
      </x:c>
      <x:c r="I176" s="82" t="n">
        <x:f>SUM(J176:O176)</x:f>
        <x:v>205</x:v>
      </x:c>
      <x:c r="J176" s="82" t="n">
        <x:v>20</x:v>
      </x:c>
      <x:c r="K176" s="82" t="n">
        <x:v>40</x:v>
      </x:c>
      <x:c r="L176" s="82" t="n">
        <x:v>15</x:v>
      </x:c>
      <x:c r="M176" s="82" t="n">
        <x:v>35</x:v>
      </x:c>
      <x:c r="N176" s="82" t="n">
        <x:v>35</x:v>
      </x:c>
      <x:c r="O176" s="82" t="n">
        <x:v>60</x:v>
      </x:c>
      <x:c r="P176" s="82" t="str">
        <x:v>Sim</x:v>
      </x:c>
      <x:c r="Q176" s="82" t="str">
        <x:v>Não</x:v>
      </x:c>
      <x:c r="R176" s="82" t="str">
        <x:v>Rankeado</x:v>
      </x:c>
      <x:c r="S176" s="82" t="str">
        <x:v>https://poke.idleworld.online/pokepedia/pokemon/pichu</x:v>
      </x:c>
      <x:c r="T176" s="143" t="n">
        <x:f>MAX(K176,M176)*Metodologia!$B$16</x:f>
        <x:v>52</x:v>
      </x:c>
      <x:c r="U176" s="143" t="n">
        <x:f>MIN(K176,M176)*Metodologia!$B$16</x:f>
        <x:v>45.5</x:v>
      </x:c>
      <x:c r="V176" s="144" t="n">
        <x:f>SQRT(J176*AVERAGE(L176,N176)*Metodologia!$B$16)</x:f>
        <x:v>25.495097567963924</x:v>
      </x:c>
    </x:row>
    <x:row r="177" ht="22" customHeight="1">
      <x:c r="A177" s="82" t="n">
        <x:v>173</x:v>
      </x:c>
      <x:c r="B177" s="82" t="str">
        <x:v>Cleffa</x:v>
      </x:c>
      <x:c r="C177" s="82" t="str">
        <x:v>Fada</x:v>
      </x:c>
      <x:c r="D177" s="82" t="str">
        <x:v>Psycraft</x:v>
      </x:c>
      <x:c r="E177" s="82" t="n">
        <x:v>1</x:v>
      </x:c>
      <x:c r="F177" s="82" t="str">
        <x:f>IF(G177&gt;=80,"S+",IF(G177&gt;=72,"S",IF(G177&gt;=65,"A",IF(G177&gt;=58,"B",IF(G177&gt;=50,"C",IF(G177&gt;=42,"D","E"))))))</x:f>
        <x:v>E</x:v>
      </x:c>
      <x:c r="G177" s="142" t="n">
        <x:f>ROUND(100*(Metodologia!$B$17*(T177/Metodologia!$B$22)+Metodologia!$B$18*(U177/Metodologia!$B$23)+Metodologia!$B$19*(V177/Metodologia!$B$24)+Metodologia!$B$20*(O177/Metodologia!$B$25)+Metodologia!$B$21*(I177/Metodologia!$B$26)),2)</x:f>
        <x:v>27.43</x:v>
      </x:c>
      <x:c r="H177" s="82" t="n">
        <x:f>IF(R177&lt;&gt;"Rankeado","",COUNTIFS($R$5:$R$255,"Rankeado",$G$5:$G$255,"&gt;"&amp;G177)+COUNTIFS($R$5:R177,"Rankeado",$G$5:G177,G177))</x:f>
        <x:v>225</x:v>
      </x:c>
      <x:c r="I177" s="82" t="n">
        <x:f>SUM(J177:O177)</x:f>
        <x:v>218</x:v>
      </x:c>
      <x:c r="J177" s="82" t="n">
        <x:v>50</x:v>
      </x:c>
      <x:c r="K177" s="82" t="n">
        <x:v>25</x:v>
      </x:c>
      <x:c r="L177" s="82" t="n">
        <x:v>28</x:v>
      </x:c>
      <x:c r="M177" s="82" t="n">
        <x:v>45</x:v>
      </x:c>
      <x:c r="N177" s="82" t="n">
        <x:v>55</x:v>
      </x:c>
      <x:c r="O177" s="82" t="n">
        <x:v>15</x:v>
      </x:c>
      <x:c r="P177" s="82" t="str">
        <x:v>Sim</x:v>
      </x:c>
      <x:c r="Q177" s="82" t="str">
        <x:v>Não</x:v>
      </x:c>
      <x:c r="R177" s="82" t="str">
        <x:v>Rankeado</x:v>
      </x:c>
      <x:c r="S177" s="82" t="str">
        <x:v>https://poke.idleworld.online/pokepedia/pokemon/cleffa</x:v>
      </x:c>
      <x:c r="T177" s="143" t="n">
        <x:f>MAX(K177,M177)*Metodologia!$B$16</x:f>
        <x:v>58.5</x:v>
      </x:c>
      <x:c r="U177" s="143" t="n">
        <x:f>MIN(K177,M177)*Metodologia!$B$16</x:f>
        <x:v>32.5</x:v>
      </x:c>
      <x:c r="V177" s="144" t="n">
        <x:f>SQRT(J177*AVERAGE(L177,N177)*Metodologia!$B$16)</x:f>
        <x:v>51.93746239469156</x:v>
      </x:c>
    </x:row>
    <x:row r="178" ht="22" customHeight="1">
      <x:c r="A178" s="82" t="n">
        <x:v>174</x:v>
      </x:c>
      <x:c r="B178" s="82" t="str">
        <x:v>Igglybuff</x:v>
      </x:c>
      <x:c r="C178" s="82" t="str">
        <x:v>Normal / Fada</x:v>
      </x:c>
      <x:c r="D178" s="82" t="str">
        <x:v>Gardestrike / Psycraft</x:v>
      </x:c>
      <x:c r="E178" s="82" t="n">
        <x:v>2</x:v>
      </x:c>
      <x:c r="F178" s="82" t="str">
        <x:f>IF(G178&gt;=80,"S+",IF(G178&gt;=72,"S",IF(G178&gt;=65,"A",IF(G178&gt;=58,"B",IF(G178&gt;=50,"C",IF(G178&gt;=42,"D","E"))))))</x:f>
        <x:v>E</x:v>
      </x:c>
      <x:c r="G178" s="142" t="n">
        <x:f>ROUND(100*(Metodologia!$B$17*(T178/Metodologia!$B$22)+Metodologia!$B$18*(U178/Metodologia!$B$23)+Metodologia!$B$19*(V178/Metodologia!$B$24)+Metodologia!$B$20*(O178/Metodologia!$B$25)+Metodologia!$B$21*(I178/Metodologia!$B$26)),2)</x:f>
        <x:v>25.23</x:v>
      </x:c>
      <x:c r="H178" s="82" t="n">
        <x:f>IF(R178&lt;&gt;"Rankeado","",COUNTIFS($R$5:$R$255,"Rankeado",$G$5:$G$255,"&gt;"&amp;G178)+COUNTIFS($R$5:R178,"Rankeado",$G$5:G178,G178))</x:f>
        <x:v>230</x:v>
      </x:c>
      <x:c r="I178" s="82" t="n">
        <x:f>SUM(J178:O178)</x:f>
        <x:v>210</x:v>
      </x:c>
      <x:c r="J178" s="82" t="n">
        <x:v>90</x:v>
      </x:c>
      <x:c r="K178" s="82" t="n">
        <x:v>30</x:v>
      </x:c>
      <x:c r="L178" s="82" t="n">
        <x:v>15</x:v>
      </x:c>
      <x:c r="M178" s="82" t="n">
        <x:v>40</x:v>
      </x:c>
      <x:c r="N178" s="82" t="n">
        <x:v>20</x:v>
      </x:c>
      <x:c r="O178" s="82" t="n">
        <x:v>15</x:v>
      </x:c>
      <x:c r="P178" s="82" t="str">
        <x:v>Sim</x:v>
      </x:c>
      <x:c r="Q178" s="82" t="str">
        <x:v>Não</x:v>
      </x:c>
      <x:c r="R178" s="82" t="str">
        <x:v>Rankeado</x:v>
      </x:c>
      <x:c r="S178" s="82" t="str">
        <x:v>https://poke.idleworld.online/pokepedia/pokemon/igglybuff</x:v>
      </x:c>
      <x:c r="T178" s="143" t="n">
        <x:f>MAX(K178,M178)*Metodologia!$B$16</x:f>
        <x:v>52</x:v>
      </x:c>
      <x:c r="U178" s="143" t="n">
        <x:f>MIN(K178,M178)*Metodologia!$B$16</x:f>
        <x:v>39</x:v>
      </x:c>
      <x:c r="V178" s="144" t="n">
        <x:f>SQRT(J178*AVERAGE(L178,N178)*Metodologia!$B$16)</x:f>
        <x:v>45.249309386995066</x:v>
      </x:c>
    </x:row>
    <x:row r="179" ht="22" customHeight="1">
      <x:c r="A179" s="82" t="n">
        <x:v>175</x:v>
      </x:c>
      <x:c r="B179" s="82" t="str">
        <x:v>Togepi</x:v>
      </x:c>
      <x:c r="C179" s="82" t="str">
        <x:v>Fada</x:v>
      </x:c>
      <x:c r="D179" s="82" t="str">
        <x:v>Psycraft</x:v>
      </x:c>
      <x:c r="E179" s="82" t="n">
        <x:v>1</x:v>
      </x:c>
      <x:c r="F179" s="82" t="str">
        <x:f>IF(G179&gt;=80,"S+",IF(G179&gt;=72,"S",IF(G179&gt;=65,"A",IF(G179&gt;=58,"B",IF(G179&gt;=50,"C",IF(G179&gt;=42,"D","E"))))))</x:f>
        <x:v>E</x:v>
      </x:c>
      <x:c r="G179" s="142" t="n">
        <x:f>ROUND(100*(Metodologia!$B$17*(T179/Metodologia!$B$22)+Metodologia!$B$18*(U179/Metodologia!$B$23)+Metodologia!$B$19*(V179/Metodologia!$B$24)+Metodologia!$B$20*(O179/Metodologia!$B$25)+Metodologia!$B$21*(I179/Metodologia!$B$26)),2)</x:f>
        <x:v>25.8</x:v>
      </x:c>
      <x:c r="H179" s="82" t="n">
        <x:f>IF(R179&lt;&gt;"Rankeado","",COUNTIFS($R$5:$R$255,"Rankeado",$G$5:$G$255,"&gt;"&amp;G179)+COUNTIFS($R$5:R179,"Rankeado",$G$5:G179,G179))</x:f>
        <x:v>229</x:v>
      </x:c>
      <x:c r="I179" s="82" t="n">
        <x:f>SUM(J179:O179)</x:f>
        <x:v>245</x:v>
      </x:c>
      <x:c r="J179" s="82" t="n">
        <x:v>35</x:v>
      </x:c>
      <x:c r="K179" s="82" t="n">
        <x:v>20</x:v>
      </x:c>
      <x:c r="L179" s="82" t="n">
        <x:v>65</x:v>
      </x:c>
      <x:c r="M179" s="82" t="n">
        <x:v>40</x:v>
      </x:c>
      <x:c r="N179" s="82" t="n">
        <x:v>65</x:v>
      </x:c>
      <x:c r="O179" s="82" t="n">
        <x:v>20</x:v>
      </x:c>
      <x:c r="P179" s="82" t="str">
        <x:v>Não</x:v>
      </x:c>
      <x:c r="Q179" s="82" t="str">
        <x:v>Não</x:v>
      </x:c>
      <x:c r="R179" s="82" t="str">
        <x:v>Rankeado</x:v>
      </x:c>
      <x:c r="S179" s="82" t="str">
        <x:v>https://poke.idleworld.online/pokepedia/pokemon/togepi</x:v>
      </x:c>
      <x:c r="T179" s="143" t="n">
        <x:f>MAX(K179,M179)*Metodologia!$B$16</x:f>
        <x:v>52</x:v>
      </x:c>
      <x:c r="U179" s="143" t="n">
        <x:f>MIN(K179,M179)*Metodologia!$B$16</x:f>
        <x:v>26</x:v>
      </x:c>
      <x:c r="V179" s="144" t="n">
        <x:f>SQRT(J179*AVERAGE(L179,N179)*Metodologia!$B$16)</x:f>
        <x:v>54.38290172471491</x:v>
      </x:c>
    </x:row>
    <x:row r="180" ht="22" customHeight="1">
      <x:c r="A180" s="82" t="n">
        <x:v>176</x:v>
      </x:c>
      <x:c r="B180" s="82" t="str">
        <x:v>Togetic</x:v>
      </x:c>
      <x:c r="C180" s="82" t="str">
        <x:v>Fada / Voador</x:v>
      </x:c>
      <x:c r="D180" s="82" t="str">
        <x:v>Wingeon / Psycraft</x:v>
      </x:c>
      <x:c r="E180" s="82" t="n">
        <x:v>2</x:v>
      </x:c>
      <x:c r="F180" s="82" t="str">
        <x:f>IF(G180&gt;=80,"S+",IF(G180&gt;=72,"S",IF(G180&gt;=65,"A",IF(G180&gt;=58,"B",IF(G180&gt;=50,"C",IF(G180&gt;=42,"D","E"))))))</x:f>
        <x:v>D</x:v>
      </x:c>
      <x:c r="G180" s="142" t="n">
        <x:f>ROUND(100*(Metodologia!$B$17*(T180/Metodologia!$B$22)+Metodologia!$B$18*(U180/Metodologia!$B$23)+Metodologia!$B$19*(V180/Metodologia!$B$24)+Metodologia!$B$20*(O180/Metodologia!$B$25)+Metodologia!$B$21*(I180/Metodologia!$B$26)),2)</x:f>
        <x:v>48.42</x:v>
      </x:c>
      <x:c r="H180" s="82" t="n">
        <x:f>IF(R180&lt;&gt;"Rankeado","",COUNTIFS($R$5:$R$255,"Rankeado",$G$5:$G$255,"&gt;"&amp;G180)+COUNTIFS($R$5:R180,"Rankeado",$G$5:G180,G180))</x:f>
        <x:v>138</x:v>
      </x:c>
      <x:c r="I180" s="82" t="n">
        <x:f>SUM(J180:O180)</x:f>
        <x:v>405</x:v>
      </x:c>
      <x:c r="J180" s="82" t="n">
        <x:v>55</x:v>
      </x:c>
      <x:c r="K180" s="82" t="n">
        <x:v>40</x:v>
      </x:c>
      <x:c r="L180" s="82" t="n">
        <x:v>85</x:v>
      </x:c>
      <x:c r="M180" s="82" t="n">
        <x:v>80</x:v>
      </x:c>
      <x:c r="N180" s="82" t="n">
        <x:v>105</x:v>
      </x:c>
      <x:c r="O180" s="82" t="n">
        <x:v>40</x:v>
      </x:c>
      <x:c r="P180" s="82" t="str">
        <x:v>Não</x:v>
      </x:c>
      <x:c r="Q180" s="82" t="str">
        <x:v>Não</x:v>
      </x:c>
      <x:c r="R180" s="82" t="str">
        <x:v>Rankeado</x:v>
      </x:c>
      <x:c r="S180" s="82" t="str">
        <x:v>https://poke.idleworld.online/pokepedia/pokemon/togetic</x:v>
      </x:c>
      <x:c r="T180" s="143" t="n">
        <x:f>MAX(K180,M180)*Metodologia!$B$16</x:f>
        <x:v>104</x:v>
      </x:c>
      <x:c r="U180" s="143" t="n">
        <x:f>MIN(K180,M180)*Metodologia!$B$16</x:f>
        <x:v>52</x:v>
      </x:c>
      <x:c r="V180" s="144" t="n">
        <x:f>SQRT(J180*AVERAGE(L180,N180)*Metodologia!$B$16)</x:f>
        <x:v>82.41662453655816</x:v>
      </x:c>
    </x:row>
    <x:row r="181" ht="22" customHeight="1">
      <x:c r="A181" s="82" t="n">
        <x:v>177</x:v>
      </x:c>
      <x:c r="B181" s="82" t="str">
        <x:v>Natu</x:v>
      </x:c>
      <x:c r="C181" s="82" t="str">
        <x:v>Psíquico / Voador</x:v>
      </x:c>
      <x:c r="D181" s="82" t="str">
        <x:v>Wingeon / Psycraft</x:v>
      </x:c>
      <x:c r="E181" s="82" t="n">
        <x:v>2</x:v>
      </x:c>
      <x:c r="F181" s="82" t="str">
        <x:f>IF(G181&gt;=80,"S+",IF(G181&gt;=72,"S",IF(G181&gt;=65,"A",IF(G181&gt;=58,"B",IF(G181&gt;=50,"C",IF(G181&gt;=42,"D","E"))))))</x:f>
        <x:v>D</x:v>
      </x:c>
      <x:c r="G181" s="142" t="n">
        <x:f>ROUND(100*(Metodologia!$B$17*(T181/Metodologia!$B$22)+Metodologia!$B$18*(U181/Metodologia!$B$23)+Metodologia!$B$19*(V181/Metodologia!$B$24)+Metodologia!$B$20*(O181/Metodologia!$B$25)+Metodologia!$B$21*(I181/Metodologia!$B$26)),2)</x:f>
        <x:v>43.52</x:v>
      </x:c>
      <x:c r="H181" s="82" t="n">
        <x:f>IF(R181&lt;&gt;"Rankeado","",COUNTIFS($R$5:$R$255,"Rankeado",$G$5:$G$255,"&gt;"&amp;G181)+COUNTIFS($R$5:R181,"Rankeado",$G$5:G181,G181))</x:f>
        <x:v>164</x:v>
      </x:c>
      <x:c r="I181" s="82" t="n">
        <x:f>SUM(J181:O181)</x:f>
        <x:v>320</x:v>
      </x:c>
      <x:c r="J181" s="82" t="n">
        <x:v>40</x:v>
      </x:c>
      <x:c r="K181" s="82" t="n">
        <x:v>50</x:v>
      </x:c>
      <x:c r="L181" s="82" t="n">
        <x:v>45</x:v>
      </x:c>
      <x:c r="M181" s="82" t="n">
        <x:v>70</x:v>
      </x:c>
      <x:c r="N181" s="82" t="n">
        <x:v>45</x:v>
      </x:c>
      <x:c r="O181" s="82" t="n">
        <x:v>70</x:v>
      </x:c>
      <x:c r="P181" s="82" t="str">
        <x:v>Sim</x:v>
      </x:c>
      <x:c r="Q181" s="82" t="str">
        <x:v>Não</x:v>
      </x:c>
      <x:c r="R181" s="82" t="str">
        <x:v>Rankeado</x:v>
      </x:c>
      <x:c r="S181" s="82" t="str">
        <x:v>https://poke.idleworld.online/pokepedia/pokemon/natu</x:v>
      </x:c>
      <x:c r="T181" s="143" t="n">
        <x:f>MAX(K181,M181)*Metodologia!$B$16</x:f>
        <x:v>91</x:v>
      </x:c>
      <x:c r="U181" s="143" t="n">
        <x:f>MIN(K181,M181)*Metodologia!$B$16</x:f>
        <x:v>65</x:v>
      </x:c>
      <x:c r="V181" s="144" t="n">
        <x:f>SQRT(J181*AVERAGE(L181,N181)*Metodologia!$B$16)</x:f>
        <x:v>48.373546489791295</x:v>
      </x:c>
    </x:row>
    <x:row r="182" ht="22" customHeight="1">
      <x:c r="A182" s="82" t="n">
        <x:v>178</x:v>
      </x:c>
      <x:c r="B182" s="82" t="str">
        <x:v>Xatu</x:v>
      </x:c>
      <x:c r="C182" s="82" t="str">
        <x:v>Psíquico / Voador</x:v>
      </x:c>
      <x:c r="D182" s="82" t="str">
        <x:v>Wingeon / Psycraft</x:v>
      </x:c>
      <x:c r="E182" s="82" t="n">
        <x:v>2</x:v>
      </x:c>
      <x:c r="F182" s="82" t="str">
        <x:f>IF(G182&gt;=80,"S+",IF(G182&gt;=72,"S",IF(G182&gt;=65,"A",IF(G182&gt;=58,"B",IF(G182&gt;=50,"C",IF(G182&gt;=42,"D","E"))))))</x:f>
        <x:v>B</x:v>
      </x:c>
      <x:c r="G182" s="142" t="n">
        <x:f>ROUND(100*(Metodologia!$B$17*(T182/Metodologia!$B$22)+Metodologia!$B$18*(U182/Metodologia!$B$23)+Metodologia!$B$19*(V182/Metodologia!$B$24)+Metodologia!$B$20*(O182/Metodologia!$B$25)+Metodologia!$B$21*(I182/Metodologia!$B$26)),2)</x:f>
        <x:v>61.06</x:v>
      </x:c>
      <x:c r="H182" s="82" t="n">
        <x:f>IF(R182&lt;&gt;"Rankeado","",COUNTIFS($R$5:$R$255,"Rankeado",$G$5:$G$255,"&gt;"&amp;G182)+COUNTIFS($R$5:R182,"Rankeado",$G$5:G182,G182))</x:f>
        <x:v>61</x:v>
      </x:c>
      <x:c r="I182" s="82" t="n">
        <x:f>SUM(J182:O182)</x:f>
        <x:v>470</x:v>
      </x:c>
      <x:c r="J182" s="82" t="n">
        <x:v>65</x:v>
      </x:c>
      <x:c r="K182" s="82" t="n">
        <x:v>75</x:v>
      </x:c>
      <x:c r="L182" s="82" t="n">
        <x:v>70</x:v>
      </x:c>
      <x:c r="M182" s="82" t="n">
        <x:v>95</x:v>
      </x:c>
      <x:c r="N182" s="82" t="n">
        <x:v>70</x:v>
      </x:c>
      <x:c r="O182" s="82" t="n">
        <x:v>95</x:v>
      </x:c>
      <x:c r="P182" s="82" t="str">
        <x:v>Sim</x:v>
      </x:c>
      <x:c r="Q182" s="82" t="str">
        <x:v>Não</x:v>
      </x:c>
      <x:c r="R182" s="82" t="str">
        <x:v>Rankeado</x:v>
      </x:c>
      <x:c r="S182" s="82" t="str">
        <x:v>https://poke.idleworld.online/pokepedia/pokemon/xatu</x:v>
      </x:c>
      <x:c r="T182" s="143" t="n">
        <x:f>MAX(K182,M182)*Metodologia!$B$16</x:f>
        <x:v>123.5</x:v>
      </x:c>
      <x:c r="U182" s="143" t="n">
        <x:f>MIN(K182,M182)*Metodologia!$B$16</x:f>
        <x:v>97.5</x:v>
      </x:c>
      <x:c r="V182" s="144" t="n">
        <x:f>SQRT(J182*AVERAGE(L182,N182)*Metodologia!$B$16)</x:f>
        <x:v>76.909037180295</x:v>
      </x:c>
    </x:row>
    <x:row r="183" ht="22" customHeight="1">
      <x:c r="A183" s="82" t="n">
        <x:v>179</x:v>
      </x:c>
      <x:c r="B183" s="82" t="str">
        <x:v>Mareep</x:v>
      </x:c>
      <x:c r="C183" s="82" t="str">
        <x:v>Elétrico</x:v>
      </x:c>
      <x:c r="D183" s="82" t="str">
        <x:v>Raibolt</x:v>
      </x:c>
      <x:c r="E183" s="82" t="n">
        <x:v>1</x:v>
      </x:c>
      <x:c r="F183" s="82" t="str">
        <x:f>IF(G183&gt;=80,"S+",IF(G183&gt;=72,"S",IF(G183&gt;=65,"A",IF(G183&gt;=58,"B",IF(G183&gt;=50,"C",IF(G183&gt;=42,"D","E"))))))</x:f>
        <x:v>E</x:v>
      </x:c>
      <x:c r="G183" s="142" t="n">
        <x:f>ROUND(100*(Metodologia!$B$17*(T183/Metodologia!$B$22)+Metodologia!$B$18*(U183/Metodologia!$B$23)+Metodologia!$B$19*(V183/Metodologia!$B$24)+Metodologia!$B$20*(O183/Metodologia!$B$25)+Metodologia!$B$21*(I183/Metodologia!$B$26)),2)</x:f>
        <x:v>38.69</x:v>
      </x:c>
      <x:c r="H183" s="82" t="n">
        <x:f>IF(R183&lt;&gt;"Rankeado","",COUNTIFS($R$5:$R$255,"Rankeado",$G$5:$G$255,"&gt;"&amp;G183)+COUNTIFS($R$5:R183,"Rankeado",$G$5:G183,G183))</x:f>
        <x:v>191</x:v>
      </x:c>
      <x:c r="I183" s="82" t="n">
        <x:f>SUM(J183:O183)</x:f>
        <x:v>280</x:v>
      </x:c>
      <x:c r="J183" s="82" t="n">
        <x:v>55</x:v>
      </x:c>
      <x:c r="K183" s="82" t="n">
        <x:v>40</x:v>
      </x:c>
      <x:c r="L183" s="82" t="n">
        <x:v>40</x:v>
      </x:c>
      <x:c r="M183" s="82" t="n">
        <x:v>65</x:v>
      </x:c>
      <x:c r="N183" s="82" t="n">
        <x:v>45</x:v>
      </x:c>
      <x:c r="O183" s="82" t="n">
        <x:v>35</x:v>
      </x:c>
      <x:c r="P183" s="82" t="str">
        <x:v>Sim</x:v>
      </x:c>
      <x:c r="Q183" s="82" t="str">
        <x:v>Não</x:v>
      </x:c>
      <x:c r="R183" s="82" t="str">
        <x:v>Rankeado</x:v>
      </x:c>
      <x:c r="S183" s="82" t="str">
        <x:v>https://poke.idleworld.online/pokepedia/pokemon/mareep</x:v>
      </x:c>
      <x:c r="T183" s="143" t="n">
        <x:f>MAX(K183,M183)*Metodologia!$B$16</x:f>
        <x:v>84.5</x:v>
      </x:c>
      <x:c r="U183" s="143" t="n">
        <x:f>MIN(K183,M183)*Metodologia!$B$16</x:f>
        <x:v>52</x:v>
      </x:c>
      <x:c r="V183" s="144" t="n">
        <x:f>SQRT(J183*AVERAGE(L183,N183)*Metodologia!$B$16)</x:f>
        <x:v>55.12485827646181</x:v>
      </x:c>
    </x:row>
    <x:row r="184" ht="22" customHeight="1">
      <x:c r="A184" s="82" t="n">
        <x:v>180</x:v>
      </x:c>
      <x:c r="B184" s="82" t="str">
        <x:v>Flaaffy</x:v>
      </x:c>
      <x:c r="C184" s="82" t="str">
        <x:v>Elétrico</x:v>
      </x:c>
      <x:c r="D184" s="82" t="str">
        <x:v>Raibolt</x:v>
      </x:c>
      <x:c r="E184" s="82" t="n">
        <x:v>1</x:v>
      </x:c>
      <x:c r="F184" s="82" t="str">
        <x:f>IF(G184&gt;=80,"S+",IF(G184&gt;=72,"S",IF(G184&gt;=65,"A",IF(G184&gt;=58,"B",IF(G184&gt;=50,"C",IF(G184&gt;=42,"D","E"))))))</x:f>
        <x:v>D</x:v>
      </x:c>
      <x:c r="G184" s="142" t="n">
        <x:f>ROUND(100*(Metodologia!$B$17*(T184/Metodologia!$B$22)+Metodologia!$B$18*(U184/Metodologia!$B$23)+Metodologia!$B$19*(V184/Metodologia!$B$24)+Metodologia!$B$20*(O184/Metodologia!$B$25)+Metodologia!$B$21*(I184/Metodologia!$B$26)),2)</x:f>
        <x:v>48.85</x:v>
      </x:c>
      <x:c r="H184" s="82" t="n">
        <x:f>IF(R184&lt;&gt;"Rankeado","",COUNTIFS($R$5:$R$255,"Rankeado",$G$5:$G$255,"&gt;"&amp;G184)+COUNTIFS($R$5:R184,"Rankeado",$G$5:G184,G184))</x:f>
        <x:v>136</x:v>
      </x:c>
      <x:c r="I184" s="82" t="n">
        <x:f>SUM(J184:O184)</x:f>
        <x:v>365</x:v>
      </x:c>
      <x:c r="J184" s="82" t="n">
        <x:v>70</x:v>
      </x:c>
      <x:c r="K184" s="82" t="n">
        <x:v>55</x:v>
      </x:c>
      <x:c r="L184" s="82" t="n">
        <x:v>55</x:v>
      </x:c>
      <x:c r="M184" s="82" t="n">
        <x:v>80</x:v>
      </x:c>
      <x:c r="N184" s="82" t="n">
        <x:v>60</x:v>
      </x:c>
      <x:c r="O184" s="82" t="n">
        <x:v>45</x:v>
      </x:c>
      <x:c r="P184" s="82" t="str">
        <x:v>Sim</x:v>
      </x:c>
      <x:c r="Q184" s="82" t="str">
        <x:v>Não</x:v>
      </x:c>
      <x:c r="R184" s="82" t="str">
        <x:v>Rankeado</x:v>
      </x:c>
      <x:c r="S184" s="82" t="str">
        <x:v>https://poke.idleworld.online/pokepedia/pokemon/flaaffy</x:v>
      </x:c>
      <x:c r="T184" s="143" t="n">
        <x:f>MAX(K184,M184)*Metodologia!$B$16</x:f>
        <x:v>104</x:v>
      </x:c>
      <x:c r="U184" s="143" t="n">
        <x:f>MIN(K184,M184)*Metodologia!$B$16</x:f>
        <x:v>71.5</x:v>
      </x:c>
      <x:c r="V184" s="144" t="n">
        <x:f>SQRT(J184*AVERAGE(L184,N184)*Metodologia!$B$16)</x:f>
        <x:v>72.33602145542703</x:v>
      </x:c>
    </x:row>
    <x:row r="185" ht="22" customHeight="1">
      <x:c r="A185" s="82" t="n">
        <x:v>181</x:v>
      </x:c>
      <x:c r="B185" s="82" t="str">
        <x:v>Ampharos</x:v>
      </x:c>
      <x:c r="C185" s="82" t="str">
        <x:v>Elétrico</x:v>
      </x:c>
      <x:c r="D185" s="82" t="str">
        <x:v>Raibolt</x:v>
      </x:c>
      <x:c r="E185" s="82" t="n">
        <x:v>1</x:v>
      </x:c>
      <x:c r="F185" s="82" t="str">
        <x:f>IF(G185&gt;=80,"S+",IF(G185&gt;=72,"S",IF(G185&gt;=65,"A",IF(G185&gt;=58,"B",IF(G185&gt;=50,"C",IF(G185&gt;=42,"D","E"))))))</x:f>
        <x:v>A</x:v>
      </x:c>
      <x:c r="G185" s="142" t="n">
        <x:f>ROUND(100*(Metodologia!$B$17*(T185/Metodologia!$B$22)+Metodologia!$B$18*(U185/Metodologia!$B$23)+Metodologia!$B$19*(V185/Metodologia!$B$24)+Metodologia!$B$20*(O185/Metodologia!$B$25)+Metodologia!$B$21*(I185/Metodologia!$B$26)),2)</x:f>
        <x:v>68.83</x:v>
      </x:c>
      <x:c r="H185" s="82" t="n">
        <x:f>IF(R185&lt;&gt;"Rankeado","",COUNTIFS($R$5:$R$255,"Rankeado",$G$5:$G$255,"&gt;"&amp;G185)+COUNTIFS($R$5:R185,"Rankeado",$G$5:G185,G185))</x:f>
        <x:v>21</x:v>
      </x:c>
      <x:c r="I185" s="82" t="n">
        <x:f>SUM(J185:O185)</x:f>
        <x:v>510</x:v>
      </x:c>
      <x:c r="J185" s="82" t="n">
        <x:v>90</x:v>
      </x:c>
      <x:c r="K185" s="82" t="n">
        <x:v>75</x:v>
      </x:c>
      <x:c r="L185" s="82" t="n">
        <x:v>85</x:v>
      </x:c>
      <x:c r="M185" s="82" t="n">
        <x:v>115</x:v>
      </x:c>
      <x:c r="N185" s="82" t="n">
        <x:v>90</x:v>
      </x:c>
      <x:c r="O185" s="82" t="n">
        <x:v>55</x:v>
      </x:c>
      <x:c r="P185" s="82" t="str">
        <x:v>Sim</x:v>
      </x:c>
      <x:c r="Q185" s="82" t="str">
        <x:v>Não</x:v>
      </x:c>
      <x:c r="R185" s="82" t="str">
        <x:v>Rankeado</x:v>
      </x:c>
      <x:c r="S185" s="82" t="str">
        <x:v>https://poke.idleworld.online/pokepedia/pokemon/ampharos</x:v>
      </x:c>
      <x:c r="T185" s="143" t="n">
        <x:f>MAX(K185,M185)*Metodologia!$B$16</x:f>
        <x:v>149.5</x:v>
      </x:c>
      <x:c r="U185" s="143" t="n">
        <x:f>MIN(K185,M185)*Metodologia!$B$16</x:f>
        <x:v>97.5</x:v>
      </x:c>
      <x:c r="V185" s="144" t="n">
        <x:f>SQRT(J185*AVERAGE(L185,N185)*Metodologia!$B$16)</x:f>
        <x:v>101.18053172424031</x:v>
      </x:c>
    </x:row>
    <x:row r="186" ht="22" customHeight="1">
      <x:c r="A186" s="82" t="n">
        <x:v>182</x:v>
      </x:c>
      <x:c r="B186" s="82" t="str">
        <x:v>Bellossom</x:v>
      </x:c>
      <x:c r="C186" s="82" t="str">
        <x:v>Planta</x:v>
      </x:c>
      <x:c r="D186" s="82" t="str">
        <x:v>Naturia</x:v>
      </x:c>
      <x:c r="E186" s="82" t="n">
        <x:v>1</x:v>
      </x:c>
      <x:c r="F186" s="82" t="str">
        <x:f>IF(G186&gt;=80,"S+",IF(G186&gt;=72,"S",IF(G186&gt;=65,"A",IF(G186&gt;=58,"B",IF(G186&gt;=50,"C",IF(G186&gt;=42,"D","E"))))))</x:f>
        <x:v>B</x:v>
      </x:c>
      <x:c r="G186" s="142" t="n">
        <x:f>ROUND(100*(Metodologia!$B$17*(T186/Metodologia!$B$22)+Metodologia!$B$18*(U186/Metodologia!$B$23)+Metodologia!$B$19*(V186/Metodologia!$B$24)+Metodologia!$B$20*(O186/Metodologia!$B$25)+Metodologia!$B$21*(I186/Metodologia!$B$26)),2)</x:f>
        <x:v>58.71</x:v>
      </x:c>
      <x:c r="H186" s="82" t="n">
        <x:f>IF(R186&lt;&gt;"Rankeado","",COUNTIFS($R$5:$R$255,"Rankeado",$G$5:$G$255,"&gt;"&amp;G186)+COUNTIFS($R$5:R186,"Rankeado",$G$5:G186,G186))</x:f>
        <x:v>78</x:v>
      </x:c>
      <x:c r="I186" s="82" t="n">
        <x:f>SUM(J186:O186)</x:f>
        <x:v>490</x:v>
      </x:c>
      <x:c r="J186" s="82" t="n">
        <x:v>75</x:v>
      </x:c>
      <x:c r="K186" s="82" t="n">
        <x:v>80</x:v>
      </x:c>
      <x:c r="L186" s="82" t="n">
        <x:v>95</x:v>
      </x:c>
      <x:c r="M186" s="82" t="n">
        <x:v>90</x:v>
      </x:c>
      <x:c r="N186" s="82" t="n">
        <x:v>100</x:v>
      </x:c>
      <x:c r="O186" s="82" t="n">
        <x:v>50</x:v>
      </x:c>
      <x:c r="P186" s="82" t="str">
        <x:v>Sim</x:v>
      </x:c>
      <x:c r="Q186" s="82" t="str">
        <x:v>Não</x:v>
      </x:c>
      <x:c r="R186" s="82" t="str">
        <x:v>Rankeado</x:v>
      </x:c>
      <x:c r="S186" s="82" t="str">
        <x:v>https://poke.idleworld.online/pokepedia/pokemon/bellossom</x:v>
      </x:c>
      <x:c r="T186" s="143" t="n">
        <x:f>MAX(K186,M186)*Metodologia!$B$16</x:f>
        <x:v>117</x:v>
      </x:c>
      <x:c r="U186" s="143" t="n">
        <x:f>MIN(K186,M186)*Metodologia!$B$16</x:f>
        <x:v>104</x:v>
      </x:c>
      <x:c r="V186" s="144" t="n">
        <x:f>SQRT(J186*AVERAGE(L186,N186)*Metodologia!$B$16)</x:f>
        <x:v>97.5</x:v>
      </x:c>
    </x:row>
    <x:row r="187" ht="22" customHeight="1">
      <x:c r="A187" s="82" t="n">
        <x:v>183</x:v>
      </x:c>
      <x:c r="B187" s="82" t="str">
        <x:v>Marill</x:v>
      </x:c>
      <x:c r="C187" s="82" t="str">
        <x:v>Água / Fada</x:v>
      </x:c>
      <x:c r="D187" s="82" t="str">
        <x:v>Psycraft / Seavell</x:v>
      </x:c>
      <x:c r="E187" s="82" t="n">
        <x:v>2</x:v>
      </x:c>
      <x:c r="F187" s="82" t="str">
        <x:f>IF(G187&gt;=80,"S+",IF(G187&gt;=72,"S",IF(G187&gt;=65,"A",IF(G187&gt;=58,"B",IF(G187&gt;=50,"C",IF(G187&gt;=42,"D","E"))))))</x:f>
        <x:v>E</x:v>
      </x:c>
      <x:c r="G187" s="142" t="n">
        <x:f>ROUND(100*(Metodologia!$B$17*(T187/Metodologia!$B$22)+Metodologia!$B$18*(U187/Metodologia!$B$23)+Metodologia!$B$19*(V187/Metodologia!$B$24)+Metodologia!$B$20*(O187/Metodologia!$B$25)+Metodologia!$B$21*(I187/Metodologia!$B$26)),2)</x:f>
        <x:v>20.64</x:v>
      </x:c>
      <x:c r="H187" s="82" t="n">
        <x:f>IF(R187&lt;&gt;"Rankeado","",COUNTIFS($R$5:$R$255,"Rankeado",$G$5:$G$255,"&gt;"&amp;G187)+COUNTIFS($R$5:R187,"Rankeado",$G$5:G187,G187))</x:f>
        <x:v>236</x:v>
      </x:c>
      <x:c r="I187" s="82" t="n">
        <x:f>SUM(J187:O187)</x:f>
        <x:v>250</x:v>
      </x:c>
      <x:c r="J187" s="82" t="n">
        <x:v>70</x:v>
      </x:c>
      <x:c r="K187" s="82" t="n">
        <x:v>20</x:v>
      </x:c>
      <x:c r="L187" s="82" t="n">
        <x:v>50</x:v>
      </x:c>
      <x:c r="M187" s="82" t="n">
        <x:v>20</x:v>
      </x:c>
      <x:c r="N187" s="82" t="n">
        <x:v>50</x:v>
      </x:c>
      <x:c r="O187" s="82" t="n">
        <x:v>40</x:v>
      </x:c>
      <x:c r="P187" s="82" t="str">
        <x:v>Sim</x:v>
      </x:c>
      <x:c r="Q187" s="82" t="str">
        <x:v>Não</x:v>
      </x:c>
      <x:c r="R187" s="82" t="str">
        <x:v>Rankeado</x:v>
      </x:c>
      <x:c r="S187" s="82" t="str">
        <x:v>https://poke.idleworld.online/pokepedia/pokemon/marill</x:v>
      </x:c>
      <x:c r="T187" s="143" t="n">
        <x:f>MAX(K187,M187)*Metodologia!$B$16</x:f>
        <x:v>26</x:v>
      </x:c>
      <x:c r="U187" s="143" t="n">
        <x:f>MIN(K187,M187)*Metodologia!$B$16</x:f>
        <x:v>26</x:v>
      </x:c>
      <x:c r="V187" s="144" t="n">
        <x:f>SQRT(J187*AVERAGE(L187,N187)*Metodologia!$B$16)</x:f>
        <x:v>67.45368781616021</x:v>
      </x:c>
    </x:row>
    <x:row r="188" ht="22" customHeight="1">
      <x:c r="A188" s="82" t="n">
        <x:v>184</x:v>
      </x:c>
      <x:c r="B188" s="82" t="str">
        <x:v>Azumarill</x:v>
      </x:c>
      <x:c r="C188" s="82" t="str">
        <x:v>Água / Fada</x:v>
      </x:c>
      <x:c r="D188" s="82" t="str">
        <x:v>Psycraft / Seavell</x:v>
      </x:c>
      <x:c r="E188" s="82" t="n">
        <x:v>2</x:v>
      </x:c>
      <x:c r="F188" s="82" t="str">
        <x:f>IF(G188&gt;=80,"S+",IF(G188&gt;=72,"S",IF(G188&gt;=65,"A",IF(G188&gt;=58,"B",IF(G188&gt;=50,"C",IF(G188&gt;=42,"D","E"))))))</x:f>
        <x:v>D</x:v>
      </x:c>
      <x:c r="G188" s="142" t="n">
        <x:f>ROUND(100*(Metodologia!$B$17*(T188/Metodologia!$B$22)+Metodologia!$B$18*(U188/Metodologia!$B$23)+Metodologia!$B$19*(V188/Metodologia!$B$24)+Metodologia!$B$20*(O188/Metodologia!$B$25)+Metodologia!$B$21*(I188/Metodologia!$B$26)),2)</x:f>
        <x:v>44.21</x:v>
      </x:c>
      <x:c r="H188" s="82" t="n">
        <x:f>IF(R188&lt;&gt;"Rankeado","",COUNTIFS($R$5:$R$255,"Rankeado",$G$5:$G$255,"&gt;"&amp;G188)+COUNTIFS($R$5:R188,"Rankeado",$G$5:G188,G188))</x:f>
        <x:v>161</x:v>
      </x:c>
      <x:c r="I188" s="82" t="n">
        <x:f>SUM(J188:O188)</x:f>
        <x:v>420</x:v>
      </x:c>
      <x:c r="J188" s="82" t="n">
        <x:v>100</x:v>
      </x:c>
      <x:c r="K188" s="82" t="n">
        <x:v>50</x:v>
      </x:c>
      <x:c r="L188" s="82" t="n">
        <x:v>80</x:v>
      </x:c>
      <x:c r="M188" s="82" t="n">
        <x:v>60</x:v>
      </x:c>
      <x:c r="N188" s="82" t="n">
        <x:v>80</x:v>
      </x:c>
      <x:c r="O188" s="82" t="n">
        <x:v>50</x:v>
      </x:c>
      <x:c r="P188" s="82" t="str">
        <x:v>Sim</x:v>
      </x:c>
      <x:c r="Q188" s="82" t="str">
        <x:v>Não</x:v>
      </x:c>
      <x:c r="R188" s="82" t="str">
        <x:v>Rankeado</x:v>
      </x:c>
      <x:c r="S188" s="82" t="str">
        <x:v>https://poke.idleworld.online/pokepedia/pokemon/azumarill</x:v>
      </x:c>
      <x:c r="T188" s="143" t="n">
        <x:f>MAX(K188,M188)*Metodologia!$B$16</x:f>
        <x:v>78</x:v>
      </x:c>
      <x:c r="U188" s="143" t="n">
        <x:f>MIN(K188,M188)*Metodologia!$B$16</x:f>
        <x:v>65</x:v>
      </x:c>
      <x:c r="V188" s="144" t="n">
        <x:f>SQRT(J188*AVERAGE(L188,N188)*Metodologia!$B$16)</x:f>
        <x:v>101.9803902718557</x:v>
      </x:c>
    </x:row>
    <x:row r="189" ht="22" customHeight="1">
      <x:c r="A189" s="82" t="n">
        <x:v>185</x:v>
      </x:c>
      <x:c r="B189" s="82" t="str">
        <x:v>Sudowoodo</x:v>
      </x:c>
      <x:c r="C189" s="82" t="str">
        <x:v>Pedra</x:v>
      </x:c>
      <x:c r="D189" s="82" t="str">
        <x:v>Orebound</x:v>
      </x:c>
      <x:c r="E189" s="82" t="n">
        <x:v>1</x:v>
      </x:c>
      <x:c r="F189" s="82" t="str">
        <x:f>IF(G189&gt;=80,"S+",IF(G189&gt;=72,"S",IF(G189&gt;=65,"A",IF(G189&gt;=58,"B",IF(G189&gt;=50,"C",IF(G189&gt;=42,"D","E"))))))</x:f>
        <x:v>C</x:v>
      </x:c>
      <x:c r="G189" s="142" t="n">
        <x:f>ROUND(100*(Metodologia!$B$17*(T189/Metodologia!$B$22)+Metodologia!$B$18*(U189/Metodologia!$B$23)+Metodologia!$B$19*(V189/Metodologia!$B$24)+Metodologia!$B$20*(O189/Metodologia!$B$25)+Metodologia!$B$21*(I189/Metodologia!$B$26)),2)</x:f>
        <x:v>55.46</x:v>
      </x:c>
      <x:c r="H189" s="82" t="n">
        <x:f>IF(R189&lt;&gt;"Rankeado","",COUNTIFS($R$5:$R$255,"Rankeado",$G$5:$G$255,"&gt;"&amp;G189)+COUNTIFS($R$5:R189,"Rankeado",$G$5:G189,G189))</x:f>
        <x:v>94</x:v>
      </x:c>
      <x:c r="I189" s="82" t="n">
        <x:f>SUM(J189:O189)</x:f>
        <x:v>410</x:v>
      </x:c>
      <x:c r="J189" s="82" t="n">
        <x:v>70</x:v>
      </x:c>
      <x:c r="K189" s="82" t="n">
        <x:v>100</x:v>
      </x:c>
      <x:c r="L189" s="82" t="n">
        <x:v>115</x:v>
      </x:c>
      <x:c r="M189" s="82" t="n">
        <x:v>30</x:v>
      </x:c>
      <x:c r="N189" s="82" t="n">
        <x:v>65</x:v>
      </x:c>
      <x:c r="O189" s="82" t="n">
        <x:v>30</x:v>
      </x:c>
      <x:c r="P189" s="82" t="str">
        <x:v>Não</x:v>
      </x:c>
      <x:c r="Q189" s="82" t="str">
        <x:v>Não</x:v>
      </x:c>
      <x:c r="R189" s="82" t="str">
        <x:v>Rankeado</x:v>
      </x:c>
      <x:c r="S189" s="82" t="str">
        <x:v>https://poke.idleworld.online/pokepedia/pokemon/sudowoodo</x:v>
      </x:c>
      <x:c r="T189" s="143" t="n">
        <x:f>MAX(K189,M189)*Metodologia!$B$16</x:f>
        <x:v>130</x:v>
      </x:c>
      <x:c r="U189" s="143" t="n">
        <x:f>MIN(K189,M189)*Metodologia!$B$16</x:f>
        <x:v>39</x:v>
      </x:c>
      <x:c r="V189" s="144" t="n">
        <x:f>SQRT(J189*AVERAGE(L189,N189)*Metodologia!$B$16)</x:f>
        <x:v>90.49861877399013</x:v>
      </x:c>
    </x:row>
    <x:row r="190" ht="22" customHeight="1">
      <x:c r="A190" s="82" t="n">
        <x:v>186</x:v>
      </x:c>
      <x:c r="B190" s="82" t="str">
        <x:v>Politoed</x:v>
      </x:c>
      <x:c r="C190" s="82" t="str">
        <x:v>Água</x:v>
      </x:c>
      <x:c r="D190" s="82" t="str">
        <x:v>Seavell</x:v>
      </x:c>
      <x:c r="E190" s="82" t="n">
        <x:v>1</x:v>
      </x:c>
      <x:c r="F190" s="82" t="str">
        <x:f>IF(G190&gt;=80,"S+",IF(G190&gt;=72,"S",IF(G190&gt;=65,"A",IF(G190&gt;=58,"B",IF(G190&gt;=50,"C",IF(G190&gt;=42,"D","E"))))))</x:f>
        <x:v>B</x:v>
      </x:c>
      <x:c r="G190" s="142" t="n">
        <x:f>ROUND(100*(Metodologia!$B$17*(T190/Metodologia!$B$22)+Metodologia!$B$18*(U190/Metodologia!$B$23)+Metodologia!$B$19*(V190/Metodologia!$B$24)+Metodologia!$B$20*(O190/Metodologia!$B$25)+Metodologia!$B$21*(I190/Metodologia!$B$26)),2)</x:f>
        <x:v>60.02</x:v>
      </x:c>
      <x:c r="H190" s="82" t="n">
        <x:f>IF(R190&lt;&gt;"Rankeado","",COUNTIFS($R$5:$R$255,"Rankeado",$G$5:$G$255,"&gt;"&amp;G190)+COUNTIFS($R$5:R190,"Rankeado",$G$5:G190,G190))</x:f>
        <x:v>68</x:v>
      </x:c>
      <x:c r="I190" s="82" t="n">
        <x:f>SUM(J190:O190)</x:f>
        <x:v>500</x:v>
      </x:c>
      <x:c r="J190" s="82" t="n">
        <x:v>90</x:v>
      </x:c>
      <x:c r="K190" s="82" t="n">
        <x:v>75</x:v>
      </x:c>
      <x:c r="L190" s="82" t="n">
        <x:v>75</x:v>
      </x:c>
      <x:c r="M190" s="82" t="n">
        <x:v>90</x:v>
      </x:c>
      <x:c r="N190" s="82" t="n">
        <x:v>100</x:v>
      </x:c>
      <x:c r="O190" s="82" t="n">
        <x:v>70</x:v>
      </x:c>
      <x:c r="P190" s="82" t="str">
        <x:v>Sim</x:v>
      </x:c>
      <x:c r="Q190" s="82" t="str">
        <x:v>Não</x:v>
      </x:c>
      <x:c r="R190" s="82" t="str">
        <x:v>Rankeado</x:v>
      </x:c>
      <x:c r="S190" s="82" t="str">
        <x:v>https://poke.idleworld.online/pokepedia/pokemon/politoed</x:v>
      </x:c>
      <x:c r="T190" s="143" t="n">
        <x:f>MAX(K190,M190)*Metodologia!$B$16</x:f>
        <x:v>117</x:v>
      </x:c>
      <x:c r="U190" s="143" t="n">
        <x:f>MIN(K190,M190)*Metodologia!$B$16</x:f>
        <x:v>97.5</x:v>
      </x:c>
      <x:c r="V190" s="144" t="n">
        <x:f>SQRT(J190*AVERAGE(L190,N190)*Metodologia!$B$16)</x:f>
        <x:v>101.18053172424031</x:v>
      </x:c>
    </x:row>
    <x:row r="191" ht="22" customHeight="1">
      <x:c r="A191" s="82" t="n">
        <x:v>187</x:v>
      </x:c>
      <x:c r="B191" s="82" t="str">
        <x:v>Hoppip</x:v>
      </x:c>
      <x:c r="C191" s="82" t="str">
        <x:v>Planta / Voador</x:v>
      </x:c>
      <x:c r="D191" s="82" t="str">
        <x:v>Naturia / Wingeon</x:v>
      </x:c>
      <x:c r="E191" s="82" t="n">
        <x:v>2</x:v>
      </x:c>
      <x:c r="F191" s="82" t="str">
        <x:f>IF(G191&gt;=80,"S+",IF(G191&gt;=72,"S",IF(G191&gt;=65,"A",IF(G191&gt;=58,"B",IF(G191&gt;=50,"C",IF(G191&gt;=42,"D","E"))))))</x:f>
        <x:v>E</x:v>
      </x:c>
      <x:c r="G191" s="142" t="n">
        <x:f>ROUND(100*(Metodologia!$B$17*(T191/Metodologia!$B$22)+Metodologia!$B$18*(U191/Metodologia!$B$23)+Metodologia!$B$19*(V191/Metodologia!$B$24)+Metodologia!$B$20*(O191/Metodologia!$B$25)+Metodologia!$B$21*(I191/Metodologia!$B$26)),2)</x:f>
        <x:v>26.49</x:v>
      </x:c>
      <x:c r="H191" s="82" t="n">
        <x:f>IF(R191&lt;&gt;"Rankeado","",COUNTIFS($R$5:$R$255,"Rankeado",$G$5:$G$255,"&gt;"&amp;G191)+COUNTIFS($R$5:R191,"Rankeado",$G$5:G191,G191))</x:f>
        <x:v>228</x:v>
      </x:c>
      <x:c r="I191" s="82" t="n">
        <x:f>SUM(J191:O191)</x:f>
        <x:v>250</x:v>
      </x:c>
      <x:c r="J191" s="82" t="n">
        <x:v>35</x:v>
      </x:c>
      <x:c r="K191" s="82" t="n">
        <x:v>35</x:v>
      </x:c>
      <x:c r="L191" s="82" t="n">
        <x:v>40</x:v>
      </x:c>
      <x:c r="M191" s="82" t="n">
        <x:v>35</x:v>
      </x:c>
      <x:c r="N191" s="82" t="n">
        <x:v>55</x:v>
      </x:c>
      <x:c r="O191" s="82" t="n">
        <x:v>50</x:v>
      </x:c>
      <x:c r="P191" s="82" t="str">
        <x:v>Não</x:v>
      </x:c>
      <x:c r="Q191" s="82" t="str">
        <x:v>Não</x:v>
      </x:c>
      <x:c r="R191" s="82" t="str">
        <x:v>Rankeado</x:v>
      </x:c>
      <x:c r="S191" s="82" t="str">
        <x:v>https://poke.idleworld.online/pokepedia/pokemon/hoppip</x:v>
      </x:c>
      <x:c r="T191" s="143" t="n">
        <x:f>MAX(K191,M191)*Metodologia!$B$16</x:f>
        <x:v>45.5</x:v>
      </x:c>
      <x:c r="U191" s="143" t="n">
        <x:f>MIN(K191,M191)*Metodologia!$B$16</x:f>
        <x:v>45.5</x:v>
      </x:c>
      <x:c r="V191" s="144" t="n">
        <x:f>SQRT(J191*AVERAGE(L191,N191)*Metodologia!$B$16)</x:f>
        <x:v>46.489246068311324</x:v>
      </x:c>
    </x:row>
    <x:row r="192" ht="22" customHeight="1">
      <x:c r="A192" s="82" t="n">
        <x:v>188</x:v>
      </x:c>
      <x:c r="B192" s="82" t="str">
        <x:v>Skiploom</x:v>
      </x:c>
      <x:c r="C192" s="82" t="str">
        <x:v>Planta / Voador</x:v>
      </x:c>
      <x:c r="D192" s="82" t="str">
        <x:v>Naturia / Wingeon</x:v>
      </x:c>
      <x:c r="E192" s="82" t="n">
        <x:v>2</x:v>
      </x:c>
      <x:c r="F192" s="82" t="str">
        <x:f>IF(G192&gt;=80,"S+",IF(G192&gt;=72,"S",IF(G192&gt;=65,"A",IF(G192&gt;=58,"B",IF(G192&gt;=50,"C",IF(G192&gt;=42,"D","E"))))))</x:f>
        <x:v>E</x:v>
      </x:c>
      <x:c r="G192" s="142" t="n">
        <x:f>ROUND(100*(Metodologia!$B$17*(T192/Metodologia!$B$22)+Metodologia!$B$18*(U192/Metodologia!$B$23)+Metodologia!$B$19*(V192/Metodologia!$B$24)+Metodologia!$B$20*(O192/Metodologia!$B$25)+Metodologia!$B$21*(I192/Metodologia!$B$26)),2)</x:f>
        <x:v>35.66</x:v>
      </x:c>
      <x:c r="H192" s="82" t="n">
        <x:f>IF(R192&lt;&gt;"Rankeado","",COUNTIFS($R$5:$R$255,"Rankeado",$G$5:$G$255,"&gt;"&amp;G192)+COUNTIFS($R$5:R192,"Rankeado",$G$5:G192,G192))</x:f>
        <x:v>202</x:v>
      </x:c>
      <x:c r="I192" s="82" t="n">
        <x:f>SUM(J192:O192)</x:f>
        <x:v>340</x:v>
      </x:c>
      <x:c r="J192" s="82" t="n">
        <x:v>55</x:v>
      </x:c>
      <x:c r="K192" s="82" t="n">
        <x:v>45</x:v>
      </x:c>
      <x:c r="L192" s="82" t="n">
        <x:v>50</x:v>
      </x:c>
      <x:c r="M192" s="82" t="n">
        <x:v>45</x:v>
      </x:c>
      <x:c r="N192" s="82" t="n">
        <x:v>65</x:v>
      </x:c>
      <x:c r="O192" s="82" t="n">
        <x:v>80</x:v>
      </x:c>
      <x:c r="P192" s="82" t="str">
        <x:v>Não</x:v>
      </x:c>
      <x:c r="Q192" s="82" t="str">
        <x:v>Não</x:v>
      </x:c>
      <x:c r="R192" s="82" t="str">
        <x:v>Rankeado</x:v>
      </x:c>
      <x:c r="S192" s="82" t="str">
        <x:v>https://poke.idleworld.online/pokepedia/pokemon/skiploom</x:v>
      </x:c>
      <x:c r="T192" s="143" t="n">
        <x:f>MAX(K192,M192)*Metodologia!$B$16</x:f>
        <x:v>58.5</x:v>
      </x:c>
      <x:c r="U192" s="143" t="n">
        <x:f>MIN(K192,M192)*Metodologia!$B$16</x:f>
        <x:v>58.5</x:v>
      </x:c>
      <x:c r="V192" s="144" t="n">
        <x:f>SQRT(J192*AVERAGE(L192,N192)*Metodologia!$B$16)</x:f>
        <x:v>64.1190299365173</x:v>
      </x:c>
    </x:row>
    <x:row r="193" ht="22" customHeight="1">
      <x:c r="A193" s="82" t="n">
        <x:v>189</x:v>
      </x:c>
      <x:c r="B193" s="82" t="str">
        <x:v>Jumpluff</x:v>
      </x:c>
      <x:c r="C193" s="82" t="str">
        <x:v>Planta / Voador</x:v>
      </x:c>
      <x:c r="D193" s="82" t="str">
        <x:v>Naturia / Wingeon</x:v>
      </x:c>
      <x:c r="E193" s="82" t="n">
        <x:v>2</x:v>
      </x:c>
      <x:c r="F193" s="82" t="str">
        <x:f>IF(G193&gt;=80,"S+",IF(G193&gt;=72,"S",IF(G193&gt;=65,"A",IF(G193&gt;=58,"B",IF(G193&gt;=50,"C",IF(G193&gt;=42,"D","E"))))))</x:f>
        <x:v>D</x:v>
      </x:c>
      <x:c r="G193" s="142" t="n">
        <x:f>ROUND(100*(Metodologia!$B$17*(T193/Metodologia!$B$22)+Metodologia!$B$18*(U193/Metodologia!$B$23)+Metodologia!$B$19*(V193/Metodologia!$B$24)+Metodologia!$B$20*(O193/Metodologia!$B$25)+Metodologia!$B$21*(I193/Metodologia!$B$26)),2)</x:f>
        <x:v>45.82</x:v>
      </x:c>
      <x:c r="H193" s="82" t="n">
        <x:f>IF(R193&lt;&gt;"Rankeado","",COUNTIFS($R$5:$R$255,"Rankeado",$G$5:$G$255,"&gt;"&amp;G193)+COUNTIFS($R$5:R193,"Rankeado",$G$5:G193,G193))</x:f>
        <x:v>149</x:v>
      </x:c>
      <x:c r="I193" s="82" t="n">
        <x:f>SUM(J193:O193)</x:f>
        <x:v>460</x:v>
      </x:c>
      <x:c r="J193" s="82" t="n">
        <x:v>75</x:v>
      </x:c>
      <x:c r="K193" s="82" t="n">
        <x:v>55</x:v>
      </x:c>
      <x:c r="L193" s="82" t="n">
        <x:v>70</x:v>
      </x:c>
      <x:c r="M193" s="82" t="n">
        <x:v>55</x:v>
      </x:c>
      <x:c r="N193" s="82" t="n">
        <x:v>95</x:v>
      </x:c>
      <x:c r="O193" s="82" t="n">
        <x:v>110</x:v>
      </x:c>
      <x:c r="P193" s="82" t="str">
        <x:v>Não</x:v>
      </x:c>
      <x:c r="Q193" s="82" t="str">
        <x:v>Não</x:v>
      </x:c>
      <x:c r="R193" s="82" t="str">
        <x:v>Rankeado</x:v>
      </x:c>
      <x:c r="S193" s="82" t="str">
        <x:v>https://poke.idleworld.online/pokepedia/pokemon/jumpluff</x:v>
      </x:c>
      <x:c r="T193" s="143" t="n">
        <x:f>MAX(K193,M193)*Metodologia!$B$16</x:f>
        <x:v>71.5</x:v>
      </x:c>
      <x:c r="U193" s="143" t="n">
        <x:f>MIN(K193,M193)*Metodologia!$B$16</x:f>
        <x:v>71.5</x:v>
      </x:c>
      <x:c r="V193" s="144" t="n">
        <x:f>SQRT(J193*AVERAGE(L193,N193)*Metodologia!$B$16)</x:f>
        <x:v>89.68695557326049</x:v>
      </x:c>
    </x:row>
    <x:row r="194" ht="22" customHeight="1">
      <x:c r="A194" s="82" t="n">
        <x:v>190</x:v>
      </x:c>
      <x:c r="B194" s="82" t="str">
        <x:v>Aipom</x:v>
      </x:c>
      <x:c r="C194" s="82" t="str">
        <x:v>Normal</x:v>
      </x:c>
      <x:c r="D194" s="82" t="str">
        <x:v>Gardestrike</x:v>
      </x:c>
      <x:c r="E194" s="82" t="n">
        <x:v>1</x:v>
      </x:c>
      <x:c r="F194" s="82" t="str">
        <x:f>IF(G194&gt;=80,"S+",IF(G194&gt;=72,"S",IF(G194&gt;=65,"A",IF(G194&gt;=58,"B",IF(G194&gt;=50,"C",IF(G194&gt;=42,"D","E"))))))</x:f>
        <x:v>D</x:v>
      </x:c>
      <x:c r="G194" s="142" t="n">
        <x:f>ROUND(100*(Metodologia!$B$17*(T194/Metodologia!$B$22)+Metodologia!$B$18*(U194/Metodologia!$B$23)+Metodologia!$B$19*(V194/Metodologia!$B$24)+Metodologia!$B$20*(O194/Metodologia!$B$25)+Metodologia!$B$21*(I194/Metodologia!$B$26)),2)</x:f>
        <x:v>45.29</x:v>
      </x:c>
      <x:c r="H194" s="82" t="n">
        <x:f>IF(R194&lt;&gt;"Rankeado","",COUNTIFS($R$5:$R$255,"Rankeado",$G$5:$G$255,"&gt;"&amp;G194)+COUNTIFS($R$5:R194,"Rankeado",$G$5:G194,G194))</x:f>
        <x:v>154</x:v>
      </x:c>
      <x:c r="I194" s="82" t="n">
        <x:f>SUM(J194:O194)</x:f>
        <x:v>360</x:v>
      </x:c>
      <x:c r="J194" s="82" t="n">
        <x:v>55</x:v>
      </x:c>
      <x:c r="K194" s="82" t="n">
        <x:v>70</x:v>
      </x:c>
      <x:c r="L194" s="82" t="n">
        <x:v>55</x:v>
      </x:c>
      <x:c r="M194" s="82" t="n">
        <x:v>40</x:v>
      </x:c>
      <x:c r="N194" s="82" t="n">
        <x:v>55</x:v>
      </x:c>
      <x:c r="O194" s="82" t="n">
        <x:v>85</x:v>
      </x:c>
      <x:c r="P194" s="82" t="str">
        <x:v>Não</x:v>
      </x:c>
      <x:c r="Q194" s="82" t="str">
        <x:v>Não</x:v>
      </x:c>
      <x:c r="R194" s="82" t="str">
        <x:v>Rankeado</x:v>
      </x:c>
      <x:c r="S194" s="82" t="str">
        <x:v>https://poke.idleworld.online/pokepedia/pokemon/aipom</x:v>
      </x:c>
      <x:c r="T194" s="143" t="n">
        <x:f>MAX(K194,M194)*Metodologia!$B$16</x:f>
        <x:v>91</x:v>
      </x:c>
      <x:c r="U194" s="143" t="n">
        <x:f>MIN(K194,M194)*Metodologia!$B$16</x:f>
        <x:v>52</x:v>
      </x:c>
      <x:c r="V194" s="144" t="n">
        <x:f>SQRT(J194*AVERAGE(L194,N194)*Metodologia!$B$16)</x:f>
        <x:v>62.70964838045259</x:v>
      </x:c>
    </x:row>
    <x:row r="195" ht="22" customHeight="1">
      <x:c r="A195" s="82" t="n">
        <x:v>191</x:v>
      </x:c>
      <x:c r="B195" s="82" t="str">
        <x:v>Sunkern</x:v>
      </x:c>
      <x:c r="C195" s="82" t="str">
        <x:v>Planta</x:v>
      </x:c>
      <x:c r="D195" s="82" t="str">
        <x:v>Naturia</x:v>
      </x:c>
      <x:c r="E195" s="82" t="n">
        <x:v>1</x:v>
      </x:c>
      <x:c r="F195" s="82" t="str">
        <x:f>IF(G195&gt;=80,"S+",IF(G195&gt;=72,"S",IF(G195&gt;=65,"A",IF(G195&gt;=58,"B",IF(G195&gt;=50,"C",IF(G195&gt;=42,"D","E"))))))</x:f>
        <x:v>E</x:v>
      </x:c>
      <x:c r="G195" s="142" t="n">
        <x:f>ROUND(100*(Metodologia!$B$17*(T195/Metodologia!$B$22)+Metodologia!$B$18*(U195/Metodologia!$B$23)+Metodologia!$B$19*(V195/Metodologia!$B$24)+Metodologia!$B$20*(O195/Metodologia!$B$25)+Metodologia!$B$21*(I195/Metodologia!$B$26)),2)</x:f>
        <x:v>21.05</x:v>
      </x:c>
      <x:c r="H195" s="82" t="n">
        <x:f>IF(R195&lt;&gt;"Rankeado","",COUNTIFS($R$5:$R$255,"Rankeado",$G$5:$G$255,"&gt;"&amp;G195)+COUNTIFS($R$5:R195,"Rankeado",$G$5:G195,G195))</x:f>
        <x:v>235</x:v>
      </x:c>
      <x:c r="I195" s="82" t="n">
        <x:f>SUM(J195:O195)</x:f>
        <x:v>180</x:v>
      </x:c>
      <x:c r="J195" s="82" t="n">
        <x:v>30</x:v>
      </x:c>
      <x:c r="K195" s="82" t="n">
        <x:v>30</x:v>
      </x:c>
      <x:c r="L195" s="82" t="n">
        <x:v>30</x:v>
      </x:c>
      <x:c r="M195" s="82" t="n">
        <x:v>30</x:v>
      </x:c>
      <x:c r="N195" s="82" t="n">
        <x:v>30</x:v>
      </x:c>
      <x:c r="O195" s="82" t="n">
        <x:v>30</x:v>
      </x:c>
      <x:c r="P195" s="82" t="str">
        <x:v>Não</x:v>
      </x:c>
      <x:c r="Q195" s="82" t="str">
        <x:v>Não</x:v>
      </x:c>
      <x:c r="R195" s="82" t="str">
        <x:v>Rankeado</x:v>
      </x:c>
      <x:c r="S195" s="82" t="str">
        <x:v>https://poke.idleworld.online/pokepedia/pokemon/sunkern</x:v>
      </x:c>
      <x:c r="T195" s="143" t="n">
        <x:f>MAX(K195,M195)*Metodologia!$B$16</x:f>
        <x:v>39</x:v>
      </x:c>
      <x:c r="U195" s="143" t="n">
        <x:f>MIN(K195,M195)*Metodologia!$B$16</x:f>
        <x:v>39</x:v>
      </x:c>
      <x:c r="V195" s="144" t="n">
        <x:f>SQRT(J195*AVERAGE(L195,N195)*Metodologia!$B$16)</x:f>
        <x:v>34.20526275297414</x:v>
      </x:c>
    </x:row>
    <x:row r="196" ht="22" customHeight="1">
      <x:c r="A196" s="82" t="n">
        <x:v>192</x:v>
      </x:c>
      <x:c r="B196" s="82" t="str">
        <x:v>Sunflora</x:v>
      </x:c>
      <x:c r="C196" s="82" t="str">
        <x:v>Planta</x:v>
      </x:c>
      <x:c r="D196" s="82" t="str">
        <x:v>Naturia</x:v>
      </x:c>
      <x:c r="E196" s="82" t="n">
        <x:v>1</x:v>
      </x:c>
      <x:c r="F196" s="82" t="str">
        <x:f>IF(G196&gt;=80,"S+",IF(G196&gt;=72,"S",IF(G196&gt;=65,"A",IF(G196&gt;=58,"B",IF(G196&gt;=50,"C",IF(G196&gt;=42,"D","E"))))))</x:f>
        <x:v>B</x:v>
      </x:c>
      <x:c r="G196" s="142" t="n">
        <x:f>ROUND(100*(Metodologia!$B$17*(T196/Metodologia!$B$22)+Metodologia!$B$18*(U196/Metodologia!$B$23)+Metodologia!$B$19*(V196/Metodologia!$B$24)+Metodologia!$B$20*(O196/Metodologia!$B$25)+Metodologia!$B$21*(I196/Metodologia!$B$26)),2)</x:f>
        <x:v>60.85</x:v>
      </x:c>
      <x:c r="H196" s="82" t="n">
        <x:f>IF(R196&lt;&gt;"Rankeado","",COUNTIFS($R$5:$R$255,"Rankeado",$G$5:$G$255,"&gt;"&amp;G196)+COUNTIFS($R$5:R196,"Rankeado",$G$5:G196,G196))</x:f>
        <x:v>62</x:v>
      </x:c>
      <x:c r="I196" s="82" t="n">
        <x:f>SUM(J196:O196)</x:f>
        <x:v>425</x:v>
      </x:c>
      <x:c r="J196" s="82" t="n">
        <x:v>75</x:v>
      </x:c>
      <x:c r="K196" s="82" t="n">
        <x:v>75</x:v>
      </x:c>
      <x:c r="L196" s="82" t="n">
        <x:v>55</x:v>
      </x:c>
      <x:c r="M196" s="82" t="n">
        <x:v>105</x:v>
      </x:c>
      <x:c r="N196" s="82" t="n">
        <x:v>85</x:v>
      </x:c>
      <x:c r="O196" s="82" t="n">
        <x:v>30</x:v>
      </x:c>
      <x:c r="P196" s="82" t="str">
        <x:v>Sim</x:v>
      </x:c>
      <x:c r="Q196" s="82" t="str">
        <x:v>Não</x:v>
      </x:c>
      <x:c r="R196" s="82" t="str">
        <x:v>Rankeado</x:v>
      </x:c>
      <x:c r="S196" s="82" t="str">
        <x:v>https://poke.idleworld.online/pokepedia/pokemon/sunflora</x:v>
      </x:c>
      <x:c r="T196" s="143" t="n">
        <x:f>MAX(K196,M196)*Metodologia!$B$16</x:f>
        <x:v>136.5</x:v>
      </x:c>
      <x:c r="U196" s="143" t="n">
        <x:f>MIN(K196,M196)*Metodologia!$B$16</x:f>
        <x:v>97.5</x:v>
      </x:c>
      <x:c r="V196" s="144" t="n">
        <x:f>SQRT(J196*AVERAGE(L196,N196)*Metodologia!$B$16)</x:f>
        <x:v>82.61355820929153</x:v>
      </x:c>
    </x:row>
    <x:row r="197" ht="22" customHeight="1">
      <x:c r="A197" s="82" t="n">
        <x:v>193</x:v>
      </x:c>
      <x:c r="B197" s="82" t="str">
        <x:v>Yanma</x:v>
      </x:c>
      <x:c r="C197" s="82" t="str">
        <x:v>Inseto / Voador</x:v>
      </x:c>
      <x:c r="D197" s="82" t="str">
        <x:v>Naturia / Wingeon</x:v>
      </x:c>
      <x:c r="E197" s="82" t="n">
        <x:v>2</x:v>
      </x:c>
      <x:c r="F197" s="82" t="str">
        <x:f>IF(G197&gt;=80,"S+",IF(G197&gt;=72,"S",IF(G197&gt;=65,"A",IF(G197&gt;=58,"B",IF(G197&gt;=50,"C",IF(G197&gt;=42,"D","E"))))))</x:f>
        <x:v>C</x:v>
      </x:c>
      <x:c r="G197" s="142" t="n">
        <x:f>ROUND(100*(Metodologia!$B$17*(T197/Metodologia!$B$22)+Metodologia!$B$18*(U197/Metodologia!$B$23)+Metodologia!$B$19*(V197/Metodologia!$B$24)+Metodologia!$B$20*(O197/Metodologia!$B$25)+Metodologia!$B$21*(I197/Metodologia!$B$26)),2)</x:f>
        <x:v>50.3</x:v>
      </x:c>
      <x:c r="H197" s="82" t="n">
        <x:f>IF(R197&lt;&gt;"Rankeado","",COUNTIFS($R$5:$R$255,"Rankeado",$G$5:$G$255,"&gt;"&amp;G197)+COUNTIFS($R$5:R197,"Rankeado",$G$5:G197,G197))</x:f>
        <x:v>131</x:v>
      </x:c>
      <x:c r="I197" s="82" t="n">
        <x:f>SUM(J197:O197)</x:f>
        <x:v>390</x:v>
      </x:c>
      <x:c r="J197" s="82" t="n">
        <x:v>65</x:v>
      </x:c>
      <x:c r="K197" s="82" t="n">
        <x:v>65</x:v>
      </x:c>
      <x:c r="L197" s="82" t="n">
        <x:v>45</x:v>
      </x:c>
      <x:c r="M197" s="82" t="n">
        <x:v>75</x:v>
      </x:c>
      <x:c r="N197" s="82" t="n">
        <x:v>45</x:v>
      </x:c>
      <x:c r="O197" s="82" t="n">
        <x:v>95</x:v>
      </x:c>
      <x:c r="P197" s="82" t="str">
        <x:v>Não</x:v>
      </x:c>
      <x:c r="Q197" s="82" t="str">
        <x:v>Não</x:v>
      </x:c>
      <x:c r="R197" s="82" t="str">
        <x:v>Rankeado</x:v>
      </x:c>
      <x:c r="S197" s="82" t="str">
        <x:v>https://poke.idleworld.online/pokepedia/pokemon/yanma</x:v>
      </x:c>
      <x:c r="T197" s="143" t="n">
        <x:f>MAX(K197,M197)*Metodologia!$B$16</x:f>
        <x:v>97.5</x:v>
      </x:c>
      <x:c r="U197" s="143" t="n">
        <x:f>MIN(K197,M197)*Metodologia!$B$16</x:f>
        <x:v>84.5</x:v>
      </x:c>
      <x:c r="V197" s="144" t="n">
        <x:f>SQRT(J197*AVERAGE(L197,N197)*Metodologia!$B$16)</x:f>
        <x:v>61.6644143732834</x:v>
      </x:c>
    </x:row>
    <x:row r="198" ht="22" customHeight="1">
      <x:c r="A198" s="82" t="n">
        <x:v>194</x:v>
      </x:c>
      <x:c r="B198" s="82" t="str">
        <x:v>Wooper</x:v>
      </x:c>
      <x:c r="C198" s="82" t="str">
        <x:v>Água / Terra</x:v>
      </x:c>
      <x:c r="D198" s="82" t="str">
        <x:v>Orebound / Seavell</x:v>
      </x:c>
      <x:c r="E198" s="82" t="n">
        <x:v>2</x:v>
      </x:c>
      <x:c r="F198" s="82" t="str">
        <x:f>IF(G198&gt;=80,"S+",IF(G198&gt;=72,"S",IF(G198&gt;=65,"A",IF(G198&gt;=58,"B",IF(G198&gt;=50,"C",IF(G198&gt;=42,"D","E"))))))</x:f>
        <x:v>E</x:v>
      </x:c>
      <x:c r="G198" s="142" t="n">
        <x:f>ROUND(100*(Metodologia!$B$17*(T198/Metodologia!$B$22)+Metodologia!$B$18*(U198/Metodologia!$B$23)+Metodologia!$B$19*(V198/Metodologia!$B$24)+Metodologia!$B$20*(O198/Metodologia!$B$25)+Metodologia!$B$21*(I198/Metodologia!$B$26)),2)</x:f>
        <x:v>27.19</x:v>
      </x:c>
      <x:c r="H198" s="82" t="n">
        <x:f>IF(R198&lt;&gt;"Rankeado","",COUNTIFS($R$5:$R$255,"Rankeado",$G$5:$G$255,"&gt;"&amp;G198)+COUNTIFS($R$5:R198,"Rankeado",$G$5:G198,G198))</x:f>
        <x:v>226</x:v>
      </x:c>
      <x:c r="I198" s="82" t="n">
        <x:f>SUM(J198:O198)</x:f>
        <x:v>210</x:v>
      </x:c>
      <x:c r="J198" s="82" t="n">
        <x:v>55</x:v>
      </x:c>
      <x:c r="K198" s="82" t="n">
        <x:v>45</x:v>
      </x:c>
      <x:c r="L198" s="82" t="n">
        <x:v>45</x:v>
      </x:c>
      <x:c r="M198" s="82" t="n">
        <x:v>25</x:v>
      </x:c>
      <x:c r="N198" s="82" t="n">
        <x:v>25</x:v>
      </x:c>
      <x:c r="O198" s="82" t="n">
        <x:v>15</x:v>
      </x:c>
      <x:c r="P198" s="82" t="str">
        <x:v>Não</x:v>
      </x:c>
      <x:c r="Q198" s="82" t="str">
        <x:v>Não</x:v>
      </x:c>
      <x:c r="R198" s="82" t="str">
        <x:v>Rankeado</x:v>
      </x:c>
      <x:c r="S198" s="82" t="str">
        <x:v>https://poke.idleworld.online/pokepedia/pokemon/wooper</x:v>
      </x:c>
      <x:c r="T198" s="143" t="n">
        <x:f>MAX(K198,M198)*Metodologia!$B$16</x:f>
        <x:v>58.5</x:v>
      </x:c>
      <x:c r="U198" s="143" t="n">
        <x:f>MIN(K198,M198)*Metodologia!$B$16</x:f>
        <x:v>32.5</x:v>
      </x:c>
      <x:c r="V198" s="144" t="n">
        <x:f>SQRT(J198*AVERAGE(L198,N198)*Metodologia!$B$16)</x:f>
        <x:v>50.02499375312305</x:v>
      </x:c>
    </x:row>
    <x:row r="199" ht="22" customHeight="1">
      <x:c r="A199" s="82" t="n">
        <x:v>195</x:v>
      </x:c>
      <x:c r="B199" s="82" t="str">
        <x:v>Quagsire</x:v>
      </x:c>
      <x:c r="C199" s="82" t="str">
        <x:v>Água / Terra</x:v>
      </x:c>
      <x:c r="D199" s="82" t="str">
        <x:v>Orebound / Seavell</x:v>
      </x:c>
      <x:c r="E199" s="82" t="n">
        <x:v>2</x:v>
      </x:c>
      <x:c r="F199" s="82" t="str">
        <x:f>IF(G199&gt;=80,"S+",IF(G199&gt;=72,"S",IF(G199&gt;=65,"A",IF(G199&gt;=58,"B",IF(G199&gt;=50,"C",IF(G199&gt;=42,"D","E"))))))</x:f>
        <x:v>C</x:v>
      </x:c>
      <x:c r="G199" s="142" t="n">
        <x:f>ROUND(100*(Metodologia!$B$17*(T199/Metodologia!$B$22)+Metodologia!$B$18*(U199/Metodologia!$B$23)+Metodologia!$B$19*(V199/Metodologia!$B$24)+Metodologia!$B$20*(O199/Metodologia!$B$25)+Metodologia!$B$21*(I199/Metodologia!$B$26)),2)</x:f>
        <x:v>53.83</x:v>
      </x:c>
      <x:c r="H199" s="82" t="n">
        <x:f>IF(R199&lt;&gt;"Rankeado","",COUNTIFS($R$5:$R$255,"Rankeado",$G$5:$G$255,"&gt;"&amp;G199)+COUNTIFS($R$5:R199,"Rankeado",$G$5:G199,G199))</x:f>
        <x:v>107</x:v>
      </x:c>
      <x:c r="I199" s="82" t="n">
        <x:f>SUM(J199:O199)</x:f>
        <x:v>430</x:v>
      </x:c>
      <x:c r="J199" s="82" t="n">
        <x:v>95</x:v>
      </x:c>
      <x:c r="K199" s="82" t="n">
        <x:v>85</x:v>
      </x:c>
      <x:c r="L199" s="82" t="n">
        <x:v>85</x:v>
      </x:c>
      <x:c r="M199" s="82" t="n">
        <x:v>65</x:v>
      </x:c>
      <x:c r="N199" s="82" t="n">
        <x:v>65</x:v>
      </x:c>
      <x:c r="O199" s="82" t="n">
        <x:v>35</x:v>
      </x:c>
      <x:c r="P199" s="82" t="str">
        <x:v>Sim</x:v>
      </x:c>
      <x:c r="Q199" s="82" t="str">
        <x:v>Não</x:v>
      </x:c>
      <x:c r="R199" s="82" t="str">
        <x:v>Rankeado</x:v>
      </x:c>
      <x:c r="S199" s="82" t="str">
        <x:v>https://poke.idleworld.online/pokepedia/pokemon/quagsire</x:v>
      </x:c>
      <x:c r="T199" s="143" t="n">
        <x:f>MAX(K199,M199)*Metodologia!$B$16</x:f>
        <x:v>110.5</x:v>
      </x:c>
      <x:c r="U199" s="143" t="n">
        <x:f>MIN(K199,M199)*Metodologia!$B$16</x:f>
        <x:v>84.5</x:v>
      </x:c>
      <x:c r="V199" s="144" t="n">
        <x:f>SQRT(J199*AVERAGE(L199,N199)*Metodologia!$B$16)</x:f>
        <x:v>96.24188277460078</x:v>
      </x:c>
    </x:row>
    <x:row r="200" ht="22" customHeight="1">
      <x:c r="A200" s="82" t="n">
        <x:v>196</x:v>
      </x:c>
      <x:c r="B200" s="82" t="str">
        <x:v>Espeon</x:v>
      </x:c>
      <x:c r="C200" s="82" t="str">
        <x:v>Psíquico</x:v>
      </x:c>
      <x:c r="D200" s="82" t="str">
        <x:v>Psycraft</x:v>
      </x:c>
      <x:c r="E200" s="82" t="n">
        <x:v>1</x:v>
      </x:c>
      <x:c r="F200" s="82" t="str">
        <x:f>IF(G200&gt;=80,"S+",IF(G200&gt;=72,"S",IF(G200&gt;=65,"A",IF(G200&gt;=58,"B",IF(G200&gt;=50,"C",IF(G200&gt;=42,"D","E"))))))</x:f>
        <x:v>S</x:v>
      </x:c>
      <x:c r="G200" s="142" t="n">
        <x:f>ROUND(100*(Metodologia!$B$17*(T200/Metodologia!$B$22)+Metodologia!$B$18*(U200/Metodologia!$B$23)+Metodologia!$B$19*(V200/Metodologia!$B$24)+Metodologia!$B$20*(O200/Metodologia!$B$25)+Metodologia!$B$21*(I200/Metodologia!$B$26)),2)</x:f>
        <x:v>75.58</x:v>
      </x:c>
      <x:c r="H200" s="82" t="n">
        <x:f>IF(R200&lt;&gt;"Rankeado","",COUNTIFS($R$5:$R$255,"Rankeado",$G$5:$G$255,"&gt;"&amp;G200)+COUNTIFS($R$5:R200,"Rankeado",$G$5:G200,G200))</x:f>
        <x:v>5</x:v>
      </x:c>
      <x:c r="I200" s="82" t="n">
        <x:f>SUM(J200:O200)</x:f>
        <x:v>525</x:v>
      </x:c>
      <x:c r="J200" s="82" t="n">
        <x:v>65</x:v>
      </x:c>
      <x:c r="K200" s="82" t="n">
        <x:v>65</x:v>
      </x:c>
      <x:c r="L200" s="82" t="n">
        <x:v>60</x:v>
      </x:c>
      <x:c r="M200" s="82" t="n">
        <x:v>130</x:v>
      </x:c>
      <x:c r="N200" s="82" t="n">
        <x:v>95</x:v>
      </x:c>
      <x:c r="O200" s="82" t="n">
        <x:v>110</x:v>
      </x:c>
      <x:c r="P200" s="82" t="str">
        <x:v>Não</x:v>
      </x:c>
      <x:c r="Q200" s="82" t="str">
        <x:v>Não</x:v>
      </x:c>
      <x:c r="R200" s="82" t="str">
        <x:v>Rankeado</x:v>
      </x:c>
      <x:c r="S200" s="82" t="str">
        <x:v>https://poke.idleworld.online/pokepedia/pokemon/espeon</x:v>
      </x:c>
      <x:c r="T200" s="143" t="n">
        <x:f>MAX(K200,M200)*Metodologia!$B$16</x:f>
        <x:v>169</x:v>
      </x:c>
      <x:c r="U200" s="143" t="n">
        <x:f>MIN(K200,M200)*Metodologia!$B$16</x:f>
        <x:v>84.5</x:v>
      </x:c>
      <x:c r="V200" s="144" t="n">
        <x:f>SQRT(J200*AVERAGE(L200,N200)*Metodologia!$B$16)</x:f>
        <x:v>80.92434738692675</x:v>
      </x:c>
    </x:row>
    <x:row r="201" ht="22" customHeight="1">
      <x:c r="A201" s="82" t="n">
        <x:v>197</x:v>
      </x:c>
      <x:c r="B201" s="82" t="str">
        <x:v>Umbreon</x:v>
      </x:c>
      <x:c r="C201" s="82" t="str">
        <x:v>Sombrio</x:v>
      </x:c>
      <x:c r="D201" s="82" t="str">
        <x:v>Malefic</x:v>
      </x:c>
      <x:c r="E201" s="82" t="n">
        <x:v>1</x:v>
      </x:c>
      <x:c r="F201" s="82" t="str">
        <x:f>IF(G201&gt;=80,"S+",IF(G201&gt;=72,"S",IF(G201&gt;=65,"A",IF(G201&gt;=58,"B",IF(G201&gt;=50,"C",IF(G201&gt;=42,"D","E"))))))</x:f>
        <x:v>C</x:v>
      </x:c>
      <x:c r="G201" s="142" t="n">
        <x:f>ROUND(100*(Metodologia!$B$17*(T201/Metodologia!$B$22)+Metodologia!$B$18*(U201/Metodologia!$B$23)+Metodologia!$B$19*(V201/Metodologia!$B$24)+Metodologia!$B$20*(O201/Metodologia!$B$25)+Metodologia!$B$21*(I201/Metodologia!$B$26)),2)</x:f>
        <x:v>50.75</x:v>
      </x:c>
      <x:c r="H201" s="82" t="n">
        <x:f>IF(R201&lt;&gt;"Rankeado","",COUNTIFS($R$5:$R$255,"Rankeado",$G$5:$G$255,"&gt;"&amp;G201)+COUNTIFS($R$5:R201,"Rankeado",$G$5:G201,G201))</x:f>
        <x:v>129</x:v>
      </x:c>
      <x:c r="I201" s="82" t="n">
        <x:f>SUM(J201:O201)</x:f>
        <x:v>525</x:v>
      </x:c>
      <x:c r="J201" s="82" t="n">
        <x:v>95</x:v>
      </x:c>
      <x:c r="K201" s="82" t="n">
        <x:v>65</x:v>
      </x:c>
      <x:c r="L201" s="82" t="n">
        <x:v>110</x:v>
      </x:c>
      <x:c r="M201" s="82" t="n">
        <x:v>60</x:v>
      </x:c>
      <x:c r="N201" s="82" t="n">
        <x:v>130</x:v>
      </x:c>
      <x:c r="O201" s="82" t="n">
        <x:v>65</x:v>
      </x:c>
      <x:c r="P201" s="82" t="str">
        <x:v>Não</x:v>
      </x:c>
      <x:c r="Q201" s="82" t="str">
        <x:v>Não</x:v>
      </x:c>
      <x:c r="R201" s="82" t="str">
        <x:v>Rankeado</x:v>
      </x:c>
      <x:c r="S201" s="82" t="str">
        <x:v>https://poke.idleworld.online/pokepedia/pokemon/umbreon</x:v>
      </x:c>
      <x:c r="T201" s="143" t="n">
        <x:f>MAX(K201,M201)*Metodologia!$B$16</x:f>
        <x:v>84.5</x:v>
      </x:c>
      <x:c r="U201" s="143" t="n">
        <x:f>MIN(K201,M201)*Metodologia!$B$16</x:f>
        <x:v>78</x:v>
      </x:c>
      <x:c r="V201" s="144" t="n">
        <x:f>SQRT(J201*AVERAGE(L201,N201)*Metodologia!$B$16)</x:f>
        <x:v>121.73742234826561</x:v>
      </x:c>
    </x:row>
    <x:row r="202" ht="22" customHeight="1">
      <x:c r="A202" s="82" t="n">
        <x:v>198</x:v>
      </x:c>
      <x:c r="B202" s="82" t="str">
        <x:v>Murkrow</x:v>
      </x:c>
      <x:c r="C202" s="82" t="str">
        <x:v>Sombrio / Voador</x:v>
      </x:c>
      <x:c r="D202" s="82" t="str">
        <x:v>Wingeon / Malefic</x:v>
      </x:c>
      <x:c r="E202" s="82" t="n">
        <x:v>2</x:v>
      </x:c>
      <x:c r="F202" s="82" t="str">
        <x:f>IF(G202&gt;=80,"S+",IF(G202&gt;=72,"S",IF(G202&gt;=65,"A",IF(G202&gt;=58,"B",IF(G202&gt;=50,"C",IF(G202&gt;=42,"D","E"))))))</x:f>
        <x:v>C</x:v>
      </x:c>
      <x:c r="G202" s="142" t="n">
        <x:f>ROUND(100*(Metodologia!$B$17*(T202/Metodologia!$B$22)+Metodologia!$B$18*(U202/Metodologia!$B$23)+Metodologia!$B$19*(V202/Metodologia!$B$24)+Metodologia!$B$20*(O202/Metodologia!$B$25)+Metodologia!$B$21*(I202/Metodologia!$B$26)),2)</x:f>
        <x:v>55.43</x:v>
      </x:c>
      <x:c r="H202" s="82" t="n">
        <x:f>IF(R202&lt;&gt;"Rankeado","",COUNTIFS($R$5:$R$255,"Rankeado",$G$5:$G$255,"&gt;"&amp;G202)+COUNTIFS($R$5:R202,"Rankeado",$G$5:G202,G202))</x:f>
        <x:v>95</x:v>
      </x:c>
      <x:c r="I202" s="82" t="n">
        <x:f>SUM(J202:O202)</x:f>
        <x:v>405</x:v>
      </x:c>
      <x:c r="J202" s="82" t="n">
        <x:v>60</x:v>
      </x:c>
      <x:c r="K202" s="82" t="n">
        <x:v>85</x:v>
      </x:c>
      <x:c r="L202" s="82" t="n">
        <x:v>42</x:v>
      </x:c>
      <x:c r="M202" s="82" t="n">
        <x:v>85</x:v>
      </x:c>
      <x:c r="N202" s="82" t="n">
        <x:v>42</x:v>
      </x:c>
      <x:c r="O202" s="82" t="n">
        <x:v>91</x:v>
      </x:c>
      <x:c r="P202" s="82" t="str">
        <x:v>Não</x:v>
      </x:c>
      <x:c r="Q202" s="82" t="str">
        <x:v>Não</x:v>
      </x:c>
      <x:c r="R202" s="82" t="str">
        <x:v>Rankeado</x:v>
      </x:c>
      <x:c r="S202" s="82" t="str">
        <x:v>https://poke.idleworld.online/pokepedia/pokemon/murkrow</x:v>
      </x:c>
      <x:c r="T202" s="143" t="n">
        <x:f>MAX(K202,M202)*Metodologia!$B$16</x:f>
        <x:v>110.5</x:v>
      </x:c>
      <x:c r="U202" s="143" t="n">
        <x:f>MIN(K202,M202)*Metodologia!$B$16</x:f>
        <x:v>110.5</x:v>
      </x:c>
      <x:c r="V202" s="144" t="n">
        <x:f>SQRT(J202*AVERAGE(L202,N202)*Metodologia!$B$16)</x:f>
        <x:v>57.23635208501674</x:v>
      </x:c>
    </x:row>
    <x:row r="203" ht="22" customHeight="1">
      <x:c r="A203" s="82" t="n">
        <x:v>199</x:v>
      </x:c>
      <x:c r="B203" s="82" t="str">
        <x:v>Slowking</x:v>
      </x:c>
      <x:c r="C203" s="82" t="str">
        <x:v>Água / Psíquico</x:v>
      </x:c>
      <x:c r="D203" s="82" t="str">
        <x:v>Psycraft / Seavell</x:v>
      </x:c>
      <x:c r="E203" s="82" t="n">
        <x:v>2</x:v>
      </x:c>
      <x:c r="F203" s="82" t="str">
        <x:f>IF(G203&gt;=80,"S+",IF(G203&gt;=72,"S",IF(G203&gt;=65,"A",IF(G203&gt;=58,"B",IF(G203&gt;=50,"C",IF(G203&gt;=42,"D","E"))))))</x:f>
        <x:v>B</x:v>
      </x:c>
      <x:c r="G203" s="142" t="n">
        <x:f>ROUND(100*(Metodologia!$B$17*(T203/Metodologia!$B$22)+Metodologia!$B$18*(U203/Metodologia!$B$23)+Metodologia!$B$19*(V203/Metodologia!$B$24)+Metodologia!$B$20*(O203/Metodologia!$B$25)+Metodologia!$B$21*(I203/Metodologia!$B$26)),2)</x:f>
        <x:v>61.86</x:v>
      </x:c>
      <x:c r="H203" s="82" t="n">
        <x:f>IF(R203&lt;&gt;"Rankeado","",COUNTIFS($R$5:$R$255,"Rankeado",$G$5:$G$255,"&gt;"&amp;G203)+COUNTIFS($R$5:R203,"Rankeado",$G$5:G203,G203))</x:f>
        <x:v>56</x:v>
      </x:c>
      <x:c r="I203" s="82" t="n">
        <x:f>SUM(J203:O203)</x:f>
        <x:v>490</x:v>
      </x:c>
      <x:c r="J203" s="82" t="n">
        <x:v>95</x:v>
      </x:c>
      <x:c r="K203" s="82" t="n">
        <x:v>75</x:v>
      </x:c>
      <x:c r="L203" s="82" t="n">
        <x:v>80</x:v>
      </x:c>
      <x:c r="M203" s="82" t="n">
        <x:v>100</x:v>
      </x:c>
      <x:c r="N203" s="82" t="n">
        <x:v>110</x:v>
      </x:c>
      <x:c r="O203" s="82" t="n">
        <x:v>30</x:v>
      </x:c>
      <x:c r="P203" s="82" t="str">
        <x:v>Não</x:v>
      </x:c>
      <x:c r="Q203" s="82" t="str">
        <x:v>Não</x:v>
      </x:c>
      <x:c r="R203" s="82" t="str">
        <x:v>Rankeado</x:v>
      </x:c>
      <x:c r="S203" s="82" t="str">
        <x:v>https://poke.idleworld.online/pokepedia/pokemon/slowking</x:v>
      </x:c>
      <x:c r="T203" s="143" t="n">
        <x:f>MAX(K203,M203)*Metodologia!$B$16</x:f>
        <x:v>130</x:v>
      </x:c>
      <x:c r="U203" s="143" t="n">
        <x:f>MIN(K203,M203)*Metodologia!$B$16</x:f>
        <x:v>97.5</x:v>
      </x:c>
      <x:c r="V203" s="144" t="n">
        <x:f>SQRT(J203*AVERAGE(L203,N203)*Metodologia!$B$16)</x:f>
        <x:v>108.3166653844181</x:v>
      </x:c>
    </x:row>
    <x:row r="204" ht="22" customHeight="1">
      <x:c r="A204" s="82" t="n">
        <x:v>200</x:v>
      </x:c>
      <x:c r="B204" s="82" t="str">
        <x:v>Misdreavus</x:v>
      </x:c>
      <x:c r="C204" s="82" t="str">
        <x:v>Fantasma</x:v>
      </x:c>
      <x:c r="D204" s="82" t="str">
        <x:v>Malefic</x:v>
      </x:c>
      <x:c r="E204" s="82" t="n">
        <x:v>1</x:v>
      </x:c>
      <x:c r="F204" s="82" t="str">
        <x:f>IF(G204&gt;=80,"S+",IF(G204&gt;=72,"S",IF(G204&gt;=65,"A",IF(G204&gt;=58,"B",IF(G204&gt;=50,"C",IF(G204&gt;=42,"D","E"))))))</x:f>
        <x:v>C</x:v>
      </x:c>
      <x:c r="G204" s="142" t="n">
        <x:f>ROUND(100*(Metodologia!$B$17*(T204/Metodologia!$B$22)+Metodologia!$B$18*(U204/Metodologia!$B$23)+Metodologia!$B$19*(V204/Metodologia!$B$24)+Metodologia!$B$20*(O204/Metodologia!$B$25)+Metodologia!$B$21*(I204/Metodologia!$B$26)),2)</x:f>
        <x:v>54.71</x:v>
      </x:c>
      <x:c r="H204" s="82" t="n">
        <x:f>IF(R204&lt;&gt;"Rankeado","",COUNTIFS($R$5:$R$255,"Rankeado",$G$5:$G$255,"&gt;"&amp;G204)+COUNTIFS($R$5:R204,"Rankeado",$G$5:G204,G204))</x:f>
        <x:v>99</x:v>
      </x:c>
      <x:c r="I204" s="82" t="n">
        <x:f>SUM(J204:O204)</x:f>
        <x:v>435</x:v>
      </x:c>
      <x:c r="J204" s="82" t="n">
        <x:v>60</x:v>
      </x:c>
      <x:c r="K204" s="82" t="n">
        <x:v>60</x:v>
      </x:c>
      <x:c r="L204" s="82" t="n">
        <x:v>60</x:v>
      </x:c>
      <x:c r="M204" s="82" t="n">
        <x:v>85</x:v>
      </x:c>
      <x:c r="N204" s="82" t="n">
        <x:v>85</x:v>
      </x:c>
      <x:c r="O204" s="82" t="n">
        <x:v>85</x:v>
      </x:c>
      <x:c r="P204" s="82" t="str">
        <x:v>Sim</x:v>
      </x:c>
      <x:c r="Q204" s="82" t="str">
        <x:v>Não</x:v>
      </x:c>
      <x:c r="R204" s="82" t="str">
        <x:v>Rankeado</x:v>
      </x:c>
      <x:c r="S204" s="82" t="str">
        <x:v>https://poke.idleworld.online/pokepedia/pokemon/misdreavus</x:v>
      </x:c>
      <x:c r="T204" s="143" t="n">
        <x:f>MAX(K204,M204)*Metodologia!$B$16</x:f>
        <x:v>110.5</x:v>
      </x:c>
      <x:c r="U204" s="143" t="n">
        <x:f>MIN(K204,M204)*Metodologia!$B$16</x:f>
        <x:v>78</x:v>
      </x:c>
      <x:c r="V204" s="144" t="n">
        <x:f>SQRT(J204*AVERAGE(L204,N204)*Metodologia!$B$16)</x:f>
        <x:v>75.1997340420829</x:v>
      </x:c>
    </x:row>
    <x:row r="205" ht="22" customHeight="1">
      <x:c r="A205" s="82" t="n">
        <x:v>201</x:v>
      </x:c>
      <x:c r="B205" s="82" t="str">
        <x:v>Unown</x:v>
      </x:c>
      <x:c r="C205" s="82" t="str">
        <x:v>Psíquico</x:v>
      </x:c>
      <x:c r="D205" s="82" t="str">
        <x:v>Psycraft</x:v>
      </x:c>
      <x:c r="E205" s="82" t="n">
        <x:v>1</x:v>
      </x:c>
      <x:c r="F205" s="82" t="str">
        <x:f>IF(G205&gt;=80,"S+",IF(G205&gt;=72,"S",IF(G205&gt;=65,"A",IF(G205&gt;=58,"B",IF(G205&gt;=50,"C",IF(G205&gt;=42,"D","E"))))))</x:f>
        <x:v>D</x:v>
      </x:c>
      <x:c r="G205" s="142" t="n">
        <x:f>ROUND(100*(Metodologia!$B$17*(T205/Metodologia!$B$22)+Metodologia!$B$18*(U205/Metodologia!$B$23)+Metodologia!$B$19*(V205/Metodologia!$B$24)+Metodologia!$B$20*(O205/Metodologia!$B$25)+Metodologia!$B$21*(I205/Metodologia!$B$26)),2)</x:f>
        <x:v>45.56</x:v>
      </x:c>
      <x:c r="H205" s="82" t="n">
        <x:f>IF(R205&lt;&gt;"Rankeado","",COUNTIFS($R$5:$R$255,"Rankeado",$G$5:$G$255,"&gt;"&amp;G205)+COUNTIFS($R$5:R205,"Rankeado",$G$5:G205,G205))</x:f>
        <x:v>151</x:v>
      </x:c>
      <x:c r="I205" s="82" t="n">
        <x:f>SUM(J205:O205)</x:f>
        <x:v>336</x:v>
      </x:c>
      <x:c r="J205" s="82" t="n">
        <x:v>48</x:v>
      </x:c>
      <x:c r="K205" s="82" t="n">
        <x:v>72</x:v>
      </x:c>
      <x:c r="L205" s="82" t="n">
        <x:v>48</x:v>
      </x:c>
      <x:c r="M205" s="82" t="n">
        <x:v>72</x:v>
      </x:c>
      <x:c r="N205" s="82" t="n">
        <x:v>48</x:v>
      </x:c>
      <x:c r="O205" s="82" t="n">
        <x:v>48</x:v>
      </x:c>
      <x:c r="P205" s="82" t="str">
        <x:v>Não</x:v>
      </x:c>
      <x:c r="Q205" s="82" t="str">
        <x:v>Não</x:v>
      </x:c>
      <x:c r="R205" s="82" t="str">
        <x:v>Rankeado</x:v>
      </x:c>
      <x:c r="S205" s="82" t="str">
        <x:v>https://poke.idleworld.online/pokepedia/pokemon/unown</x:v>
      </x:c>
      <x:c r="T205" s="143" t="n">
        <x:f>MAX(K205,M205)*Metodologia!$B$16</x:f>
        <x:v>93.60000000000001</x:v>
      </x:c>
      <x:c r="U205" s="143" t="n">
        <x:f>MIN(K205,M205)*Metodologia!$B$16</x:f>
        <x:v>93.60000000000001</x:v>
      </x:c>
      <x:c r="V205" s="144" t="n">
        <x:f>SQRT(J205*AVERAGE(L205,N205)*Metodologia!$B$16)</x:f>
        <x:v>54.72842040475862</x:v>
      </x:c>
    </x:row>
    <x:row r="206" ht="22" customHeight="1">
      <x:c r="A206" s="82" t="n">
        <x:v>202</x:v>
      </x:c>
      <x:c r="B206" s="82" t="str">
        <x:v>Wobbuffet</x:v>
      </x:c>
      <x:c r="C206" s="82" t="str">
        <x:v>Psíquico</x:v>
      </x:c>
      <x:c r="D206" s="82" t="str">
        <x:v>Psycraft</x:v>
      </x:c>
      <x:c r="E206" s="82" t="n">
        <x:v>1</x:v>
      </x:c>
      <x:c r="F206" s="82" t="str">
        <x:f>IF(G206&gt;=80,"S+",IF(G206&gt;=72,"S",IF(G206&gt;=65,"A",IF(G206&gt;=58,"B",IF(G206&gt;=50,"C",IF(G206&gt;=42,"D","E"))))))</x:f>
        <x:v>E</x:v>
      </x:c>
      <x:c r="G206" s="142" t="n">
        <x:f>ROUND(100*(Metodologia!$B$17*(T206/Metodologia!$B$22)+Metodologia!$B$18*(U206/Metodologia!$B$23)+Metodologia!$B$19*(V206/Metodologia!$B$24)+Metodologia!$B$20*(O206/Metodologia!$B$25)+Metodologia!$B$21*(I206/Metodologia!$B$26)),2)</x:f>
        <x:v>32.62</x:v>
      </x:c>
      <x:c r="H206" s="82" t="n">
        <x:f>IF(R206&lt;&gt;"Rankeado","",COUNTIFS($R$5:$R$255,"Rankeado",$G$5:$G$255,"&gt;"&amp;G206)+COUNTIFS($R$5:R206,"Rankeado",$G$5:G206,G206))</x:f>
        <x:v>216</x:v>
      </x:c>
      <x:c r="I206" s="82" t="n">
        <x:f>SUM(J206:O206)</x:f>
        <x:v>405</x:v>
      </x:c>
      <x:c r="J206" s="82" t="n">
        <x:v>190</x:v>
      </x:c>
      <x:c r="K206" s="82" t="n">
        <x:v>33</x:v>
      </x:c>
      <x:c r="L206" s="82" t="n">
        <x:v>58</x:v>
      </x:c>
      <x:c r="M206" s="82" t="n">
        <x:v>33</x:v>
      </x:c>
      <x:c r="N206" s="82" t="n">
        <x:v>58</x:v>
      </x:c>
      <x:c r="O206" s="82" t="n">
        <x:v>33</x:v>
      </x:c>
      <x:c r="P206" s="82" t="str">
        <x:v>Sim</x:v>
      </x:c>
      <x:c r="Q206" s="82" t="str">
        <x:v>Não</x:v>
      </x:c>
      <x:c r="R206" s="82" t="str">
        <x:v>Rankeado</x:v>
      </x:c>
      <x:c r="S206" s="82" t="str">
        <x:v>https://poke.idleworld.online/pokepedia/pokemon/wobbuffet</x:v>
      </x:c>
      <x:c r="T206" s="143" t="n">
        <x:f>MAX(K206,M206)*Metodologia!$B$16</x:f>
        <x:v>42.9</x:v>
      </x:c>
      <x:c r="U206" s="143" t="n">
        <x:f>MIN(K206,M206)*Metodologia!$B$16</x:f>
        <x:v>42.9</x:v>
      </x:c>
      <x:c r="V206" s="144" t="n">
        <x:f>SQRT(J206*AVERAGE(L206,N206)*Metodologia!$B$16)</x:f>
        <x:v>119.69126952288542</x:v>
      </x:c>
    </x:row>
    <x:row r="207" ht="22" customHeight="1">
      <x:c r="A207" s="82" t="n">
        <x:v>203</x:v>
      </x:c>
      <x:c r="B207" s="82" t="str">
        <x:v>Girafarig</x:v>
      </x:c>
      <x:c r="C207" s="82" t="str">
        <x:v>Normal / Psíquico</x:v>
      </x:c>
      <x:c r="D207" s="82" t="str">
        <x:v>Gardestrike / Psycraft</x:v>
      </x:c>
      <x:c r="E207" s="82" t="n">
        <x:v>2</x:v>
      </x:c>
      <x:c r="F207" s="82" t="str">
        <x:f>IF(G207&gt;=80,"S+",IF(G207&gt;=72,"S",IF(G207&gt;=65,"A",IF(G207&gt;=58,"B",IF(G207&gt;=50,"C",IF(G207&gt;=42,"D","E"))))))</x:f>
        <x:v>B</x:v>
      </x:c>
      <x:c r="G207" s="142" t="n">
        <x:f>ROUND(100*(Metodologia!$B$17*(T207/Metodologia!$B$22)+Metodologia!$B$18*(U207/Metodologia!$B$23)+Metodologia!$B$19*(V207/Metodologia!$B$24)+Metodologia!$B$20*(O207/Metodologia!$B$25)+Metodologia!$B$21*(I207/Metodologia!$B$26)),2)</x:f>
        <x:v>58.79</x:v>
      </x:c>
      <x:c r="H207" s="82" t="n">
        <x:f>IF(R207&lt;&gt;"Rankeado","",COUNTIFS($R$5:$R$255,"Rankeado",$G$5:$G$255,"&gt;"&amp;G207)+COUNTIFS($R$5:R207,"Rankeado",$G$5:G207,G207))</x:f>
        <x:v>77</x:v>
      </x:c>
      <x:c r="I207" s="82" t="n">
        <x:f>SUM(J207:O207)</x:f>
        <x:v>455</x:v>
      </x:c>
      <x:c r="J207" s="82" t="n">
        <x:v>70</x:v>
      </x:c>
      <x:c r="K207" s="82" t="n">
        <x:v>80</x:v>
      </x:c>
      <x:c r="L207" s="82" t="n">
        <x:v>65</x:v>
      </x:c>
      <x:c r="M207" s="82" t="n">
        <x:v>90</x:v>
      </x:c>
      <x:c r="N207" s="82" t="n">
        <x:v>65</x:v>
      </x:c>
      <x:c r="O207" s="82" t="n">
        <x:v>85</x:v>
      </x:c>
      <x:c r="P207" s="82" t="str">
        <x:v>Sim</x:v>
      </x:c>
      <x:c r="Q207" s="82" t="str">
        <x:v>Não</x:v>
      </x:c>
      <x:c r="R207" s="82" t="str">
        <x:v>Rankeado</x:v>
      </x:c>
      <x:c r="S207" s="82" t="str">
        <x:v>https://poke.idleworld.online/pokepedia/pokemon/girafarig</x:v>
      </x:c>
      <x:c r="T207" s="143" t="n">
        <x:f>MAX(K207,M207)*Metodologia!$B$16</x:f>
        <x:v>117</x:v>
      </x:c>
      <x:c r="U207" s="143" t="n">
        <x:f>MIN(K207,M207)*Metodologia!$B$16</x:f>
        <x:v>104</x:v>
      </x:c>
      <x:c r="V207" s="144" t="n">
        <x:f>SQRT(J207*AVERAGE(L207,N207)*Metodologia!$B$16)</x:f>
        <x:v>76.909037180295</x:v>
      </x:c>
    </x:row>
    <x:row r="208" ht="22" customHeight="1">
      <x:c r="A208" s="82" t="n">
        <x:v>204</x:v>
      </x:c>
      <x:c r="B208" s="82" t="str">
        <x:v>Pineco</x:v>
      </x:c>
      <x:c r="C208" s="82" t="str">
        <x:v>Inseto</x:v>
      </x:c>
      <x:c r="D208" s="82" t="str">
        <x:v>Naturia</x:v>
      </x:c>
      <x:c r="E208" s="82" t="n">
        <x:v>1</x:v>
      </x:c>
      <x:c r="F208" s="82" t="str">
        <x:f>IF(G208&gt;=80,"S+",IF(G208&gt;=72,"S",IF(G208&gt;=65,"A",IF(G208&gt;=58,"B",IF(G208&gt;=50,"C",IF(G208&gt;=42,"D","E"))))))</x:f>
        <x:v>E</x:v>
      </x:c>
      <x:c r="G208" s="142" t="n">
        <x:f>ROUND(100*(Metodologia!$B$17*(T208/Metodologia!$B$22)+Metodologia!$B$18*(U208/Metodologia!$B$23)+Metodologia!$B$19*(V208/Metodologia!$B$24)+Metodologia!$B$20*(O208/Metodologia!$B$25)+Metodologia!$B$21*(I208/Metodologia!$B$26)),2)</x:f>
        <x:v>37.81</x:v>
      </x:c>
      <x:c r="H208" s="82" t="n">
        <x:f>IF(R208&lt;&gt;"Rankeado","",COUNTIFS($R$5:$R$255,"Rankeado",$G$5:$G$255,"&gt;"&amp;G208)+COUNTIFS($R$5:R208,"Rankeado",$G$5:G208,G208))</x:f>
        <x:v>194</x:v>
      </x:c>
      <x:c r="I208" s="82" t="n">
        <x:f>SUM(J208:O208)</x:f>
        <x:v>290</x:v>
      </x:c>
      <x:c r="J208" s="82" t="n">
        <x:v>50</x:v>
      </x:c>
      <x:c r="K208" s="82" t="n">
        <x:v>65</x:v>
      </x:c>
      <x:c r="L208" s="82" t="n">
        <x:v>90</x:v>
      </x:c>
      <x:c r="M208" s="82" t="n">
        <x:v>35</x:v>
      </x:c>
      <x:c r="N208" s="82" t="n">
        <x:v>35</x:v>
      </x:c>
      <x:c r="O208" s="82" t="n">
        <x:v>15</x:v>
      </x:c>
      <x:c r="P208" s="82" t="str">
        <x:v>Sim</x:v>
      </x:c>
      <x:c r="Q208" s="82" t="str">
        <x:v>Não</x:v>
      </x:c>
      <x:c r="R208" s="82" t="str">
        <x:v>Rankeado</x:v>
      </x:c>
      <x:c r="S208" s="82" t="str">
        <x:v>https://poke.idleworld.online/pokepedia/pokemon/pineco</x:v>
      </x:c>
      <x:c r="T208" s="143" t="n">
        <x:f>MAX(K208,M208)*Metodologia!$B$16</x:f>
        <x:v>84.5</x:v>
      </x:c>
      <x:c r="U208" s="143" t="n">
        <x:f>MIN(K208,M208)*Metodologia!$B$16</x:f>
        <x:v>45.5</x:v>
      </x:c>
      <x:c r="V208" s="144" t="n">
        <x:f>SQRT(J208*AVERAGE(L208,N208)*Metodologia!$B$16)</x:f>
        <x:v>63.73774391990981</x:v>
      </x:c>
    </x:row>
    <x:row r="209" ht="22" customHeight="1">
      <x:c r="A209" s="82" t="n">
        <x:v>205</x:v>
      </x:c>
      <x:c r="B209" s="82" t="str">
        <x:v>Forretress</x:v>
      </x:c>
      <x:c r="C209" s="82" t="str">
        <x:v>Inseto / Aço</x:v>
      </x:c>
      <x:c r="D209" s="82" t="str">
        <x:v>Naturia / Ironhard</x:v>
      </x:c>
      <x:c r="E209" s="82" t="n">
        <x:v>2</x:v>
      </x:c>
      <x:c r="F209" s="82" t="str">
        <x:f>IF(G209&gt;=80,"S+",IF(G209&gt;=72,"S",IF(G209&gt;=65,"A",IF(G209&gt;=58,"B",IF(G209&gt;=50,"C",IF(G209&gt;=42,"D","E"))))))</x:f>
        <x:v>C</x:v>
      </x:c>
      <x:c r="G209" s="142" t="n">
        <x:f>ROUND(100*(Metodologia!$B$17*(T209/Metodologia!$B$22)+Metodologia!$B$18*(U209/Metodologia!$B$23)+Metodologia!$B$19*(V209/Metodologia!$B$24)+Metodologia!$B$20*(O209/Metodologia!$B$25)+Metodologia!$B$21*(I209/Metodologia!$B$26)),2)</x:f>
        <x:v>56.16</x:v>
      </x:c>
      <x:c r="H209" s="82" t="n">
        <x:f>IF(R209&lt;&gt;"Rankeado","",COUNTIFS($R$5:$R$255,"Rankeado",$G$5:$G$255,"&gt;"&amp;G209)+COUNTIFS($R$5:R209,"Rankeado",$G$5:G209,G209))</x:f>
        <x:v>90</x:v>
      </x:c>
      <x:c r="I209" s="82" t="n">
        <x:f>SUM(J209:O209)</x:f>
        <x:v>465</x:v>
      </x:c>
      <x:c r="J209" s="82" t="n">
        <x:v>75</x:v>
      </x:c>
      <x:c r="K209" s="82" t="n">
        <x:v>90</x:v>
      </x:c>
      <x:c r="L209" s="82" t="n">
        <x:v>140</x:v>
      </x:c>
      <x:c r="M209" s="82" t="n">
        <x:v>60</x:v>
      </x:c>
      <x:c r="N209" s="82" t="n">
        <x:v>60</x:v>
      </x:c>
      <x:c r="O209" s="82" t="n">
        <x:v>40</x:v>
      </x:c>
      <x:c r="P209" s="82" t="str">
        <x:v>Sim</x:v>
      </x:c>
      <x:c r="Q209" s="82" t="str">
        <x:v>Não</x:v>
      </x:c>
      <x:c r="R209" s="82" t="str">
        <x:v>Rankeado</x:v>
      </x:c>
      <x:c r="S209" s="82" t="str">
        <x:v>https://poke.idleworld.online/pokepedia/pokemon/forretress</x:v>
      </x:c>
      <x:c r="T209" s="143" t="n">
        <x:f>MAX(K209,M209)*Metodologia!$B$16</x:f>
        <x:v>117</x:v>
      </x:c>
      <x:c r="U209" s="143" t="n">
        <x:f>MIN(K209,M209)*Metodologia!$B$16</x:f>
        <x:v>78</x:v>
      </x:c>
      <x:c r="V209" s="144" t="n">
        <x:f>SQRT(J209*AVERAGE(L209,N209)*Metodologia!$B$16)</x:f>
        <x:v>98.74208829065749</x:v>
      </x:c>
    </x:row>
    <x:row r="210" ht="22" customHeight="1">
      <x:c r="A210" s="82" t="n">
        <x:v>206</x:v>
      </x:c>
      <x:c r="B210" s="82" t="str">
        <x:v>Dunsparce</x:v>
      </x:c>
      <x:c r="C210" s="82" t="str">
        <x:v>Normal</x:v>
      </x:c>
      <x:c r="D210" s="82" t="str">
        <x:v>Gardestrike</x:v>
      </x:c>
      <x:c r="E210" s="82" t="n">
        <x:v>1</x:v>
      </x:c>
      <x:c r="F210" s="82" t="str">
        <x:f>IF(G210&gt;=80,"S+",IF(G210&gt;=72,"S",IF(G210&gt;=65,"A",IF(G210&gt;=58,"B",IF(G210&gt;=50,"C",IF(G210&gt;=42,"D","E"))))))</x:f>
        <x:v>D</x:v>
      </x:c>
      <x:c r="G210" s="142" t="n">
        <x:f>ROUND(100*(Metodologia!$B$17*(T210/Metodologia!$B$22)+Metodologia!$B$18*(U210/Metodologia!$B$23)+Metodologia!$B$19*(V210/Metodologia!$B$24)+Metodologia!$B$20*(O210/Metodologia!$B$25)+Metodologia!$B$21*(I210/Metodologia!$B$26)),2)</x:f>
        <x:v>48.3</x:v>
      </x:c>
      <x:c r="H210" s="82" t="n">
        <x:f>IF(R210&lt;&gt;"Rankeado","",COUNTIFS($R$5:$R$255,"Rankeado",$G$5:$G$255,"&gt;"&amp;G210)+COUNTIFS($R$5:R210,"Rankeado",$G$5:G210,G210))</x:f>
        <x:v>139</x:v>
      </x:c>
      <x:c r="I210" s="82" t="n">
        <x:f>SUM(J210:O210)</x:f>
        <x:v>415</x:v>
      </x:c>
      <x:c r="J210" s="82" t="n">
        <x:v>100</x:v>
      </x:c>
      <x:c r="K210" s="82" t="n">
        <x:v>70</x:v>
      </x:c>
      <x:c r="L210" s="82" t="n">
        <x:v>70</x:v>
      </x:c>
      <x:c r="M210" s="82" t="n">
        <x:v>65</x:v>
      </x:c>
      <x:c r="N210" s="82" t="n">
        <x:v>65</x:v>
      </x:c>
      <x:c r="O210" s="82" t="n">
        <x:v>45</x:v>
      </x:c>
      <x:c r="P210" s="82" t="str">
        <x:v>Não</x:v>
      </x:c>
      <x:c r="Q210" s="82" t="str">
        <x:v>Não</x:v>
      </x:c>
      <x:c r="R210" s="82" t="str">
        <x:v>Rankeado</x:v>
      </x:c>
      <x:c r="S210" s="82" t="str">
        <x:v>https://poke.idleworld.online/pokepedia/pokemon/dunsparce</x:v>
      </x:c>
      <x:c r="T210" s="143" t="n">
        <x:f>MAX(K210,M210)*Metodologia!$B$16</x:f>
        <x:v>91</x:v>
      </x:c>
      <x:c r="U210" s="143" t="n">
        <x:f>MIN(K210,M210)*Metodologia!$B$16</x:f>
        <x:v>84.5</x:v>
      </x:c>
      <x:c r="V210" s="144" t="n">
        <x:f>SQRT(J210*AVERAGE(L210,N210)*Metodologia!$B$16)</x:f>
        <x:v>93.67496997597597</x:v>
      </x:c>
    </x:row>
    <x:row r="211" ht="22" customHeight="1">
      <x:c r="A211" s="82" t="n">
        <x:v>207</x:v>
      </x:c>
      <x:c r="B211" s="82" t="str">
        <x:v>Gligar</x:v>
      </x:c>
      <x:c r="C211" s="82" t="str">
        <x:v>Terra / Voador</x:v>
      </x:c>
      <x:c r="D211" s="82" t="str">
        <x:v>Orebound / Wingeon</x:v>
      </x:c>
      <x:c r="E211" s="82" t="n">
        <x:v>2</x:v>
      </x:c>
      <x:c r="F211" s="82" t="str">
        <x:f>IF(G211&gt;=80,"S+",IF(G211&gt;=72,"S",IF(G211&gt;=65,"A",IF(G211&gt;=58,"B",IF(G211&gt;=50,"C",IF(G211&gt;=42,"D","E"))))))</x:f>
        <x:v>D</x:v>
      </x:c>
      <x:c r="G211" s="142" t="n">
        <x:f>ROUND(100*(Metodologia!$B$17*(T211/Metodologia!$B$22)+Metodologia!$B$18*(U211/Metodologia!$B$23)+Metodologia!$B$19*(V211/Metodologia!$B$24)+Metodologia!$B$20*(O211/Metodologia!$B$25)+Metodologia!$B$21*(I211/Metodologia!$B$26)),2)</x:f>
        <x:v>49.43</x:v>
      </x:c>
      <x:c r="H211" s="82" t="n">
        <x:f>IF(R211&lt;&gt;"Rankeado","",COUNTIFS($R$5:$R$255,"Rankeado",$G$5:$G$255,"&gt;"&amp;G211)+COUNTIFS($R$5:R211,"Rankeado",$G$5:G211,G211))</x:f>
        <x:v>134</x:v>
      </x:c>
      <x:c r="I211" s="82" t="n">
        <x:f>SUM(J211:O211)</x:f>
        <x:v>430</x:v>
      </x:c>
      <x:c r="J211" s="82" t="n">
        <x:v>65</x:v>
      </x:c>
      <x:c r="K211" s="82" t="n">
        <x:v>75</x:v>
      </x:c>
      <x:c r="L211" s="82" t="n">
        <x:v>105</x:v>
      </x:c>
      <x:c r="M211" s="82" t="n">
        <x:v>35</x:v>
      </x:c>
      <x:c r="N211" s="82" t="n">
        <x:v>65</x:v>
      </x:c>
      <x:c r="O211" s="82" t="n">
        <x:v>85</x:v>
      </x:c>
      <x:c r="P211" s="82" t="str">
        <x:v>Sim</x:v>
      </x:c>
      <x:c r="Q211" s="82" t="str">
        <x:v>Não</x:v>
      </x:c>
      <x:c r="R211" s="82" t="str">
        <x:v>Rankeado</x:v>
      </x:c>
      <x:c r="S211" s="82" t="str">
        <x:v>https://poke.idleworld.online/pokepedia/pokemon/gligar</x:v>
      </x:c>
      <x:c r="T211" s="143" t="n">
        <x:f>MAX(K211,M211)*Metodologia!$B$16</x:f>
        <x:v>97.5</x:v>
      </x:c>
      <x:c r="U211" s="143" t="n">
        <x:f>MIN(K211,M211)*Metodologia!$B$16</x:f>
        <x:v>45.5</x:v>
      </x:c>
      <x:c r="V211" s="144" t="n">
        <x:f>SQRT(J211*AVERAGE(L211,N211)*Metodologia!$B$16)</x:f>
        <x:v>84.74963126763443</x:v>
      </x:c>
    </x:row>
    <x:row r="212" ht="22" customHeight="1">
      <x:c r="A212" s="82" t="n">
        <x:v>208</x:v>
      </x:c>
      <x:c r="B212" s="82" t="str">
        <x:v>Steelix</x:v>
      </x:c>
      <x:c r="C212" s="82" t="str">
        <x:v>Aço / Terra</x:v>
      </x:c>
      <x:c r="D212" s="82" t="str">
        <x:v>Orebound / Ironhard</x:v>
      </x:c>
      <x:c r="E212" s="82" t="n">
        <x:v>2</x:v>
      </x:c>
      <x:c r="F212" s="82" t="str">
        <x:f>IF(G212&gt;=80,"S+",IF(G212&gt;=72,"S",IF(G212&gt;=65,"A",IF(G212&gt;=58,"B",IF(G212&gt;=50,"C",IF(G212&gt;=42,"D","E"))))))</x:f>
        <x:v>C</x:v>
      </x:c>
      <x:c r="G212" s="142" t="n">
        <x:f>ROUND(100*(Metodologia!$B$17*(T212/Metodologia!$B$22)+Metodologia!$B$18*(U212/Metodologia!$B$23)+Metodologia!$B$19*(V212/Metodologia!$B$24)+Metodologia!$B$20*(O212/Metodologia!$B$25)+Metodologia!$B$21*(I212/Metodologia!$B$26)),2)</x:f>
        <x:v>54.86</x:v>
      </x:c>
      <x:c r="H212" s="82" t="n">
        <x:f>IF(R212&lt;&gt;"Rankeado","",COUNTIFS($R$5:$R$255,"Rankeado",$G$5:$G$255,"&gt;"&amp;G212)+COUNTIFS($R$5:R212,"Rankeado",$G$5:G212,G212))</x:f>
        <x:v>98</x:v>
      </x:c>
      <x:c r="I212" s="82" t="n">
        <x:f>SUM(J212:O212)</x:f>
        <x:v>510</x:v>
      </x:c>
      <x:c r="J212" s="82" t="n">
        <x:v>75</x:v>
      </x:c>
      <x:c r="K212" s="82" t="n">
        <x:v>85</x:v>
      </x:c>
      <x:c r="L212" s="82" t="n">
        <x:v>200</x:v>
      </x:c>
      <x:c r="M212" s="82" t="n">
        <x:v>55</x:v>
      </x:c>
      <x:c r="N212" s="82" t="n">
        <x:v>65</x:v>
      </x:c>
      <x:c r="O212" s="82" t="n">
        <x:v>30</x:v>
      </x:c>
      <x:c r="P212" s="82" t="str">
        <x:v>Sim</x:v>
      </x:c>
      <x:c r="Q212" s="82" t="str">
        <x:v>Não</x:v>
      </x:c>
      <x:c r="R212" s="82" t="str">
        <x:v>Rankeado</x:v>
      </x:c>
      <x:c r="S212" s="82" t="str">
        <x:v>https://poke.idleworld.online/pokepedia/pokemon/steelix</x:v>
      </x:c>
      <x:c r="T212" s="143" t="n">
        <x:f>MAX(K212,M212)*Metodologia!$B$16</x:f>
        <x:v>110.5</x:v>
      </x:c>
      <x:c r="U212" s="143" t="n">
        <x:f>MIN(K212,M212)*Metodologia!$B$16</x:f>
        <x:v>71.5</x:v>
      </x:c>
      <x:c r="V212" s="144" t="n">
        <x:f>SQRT(J212*AVERAGE(L212,N212)*Metodologia!$B$16)</x:f>
        <x:v>113.66067921669305</x:v>
      </x:c>
    </x:row>
    <x:row r="213" ht="22" customHeight="1">
      <x:c r="A213" s="82" t="n">
        <x:v>209</x:v>
      </x:c>
      <x:c r="B213" s="82" t="str">
        <x:v>Snubbull</x:v>
      </x:c>
      <x:c r="C213" s="82" t="str">
        <x:v>Fada</x:v>
      </x:c>
      <x:c r="D213" s="82" t="str">
        <x:v>Psycraft</x:v>
      </x:c>
      <x:c r="E213" s="82" t="n">
        <x:v>1</x:v>
      </x:c>
      <x:c r="F213" s="82" t="str">
        <x:f>IF(G213&gt;=80,"S+",IF(G213&gt;=72,"S",IF(G213&gt;=65,"A",IF(G213&gt;=58,"B",IF(G213&gt;=50,"C",IF(G213&gt;=42,"D","E"))))))</x:f>
        <x:v>D</x:v>
      </x:c>
      <x:c r="G213" s="142" t="n">
        <x:f>ROUND(100*(Metodologia!$B$17*(T213/Metodologia!$B$22)+Metodologia!$B$18*(U213/Metodologia!$B$23)+Metodologia!$B$19*(V213/Metodologia!$B$24)+Metodologia!$B$20*(O213/Metodologia!$B$25)+Metodologia!$B$21*(I213/Metodologia!$B$26)),2)</x:f>
        <x:v>44.74</x:v>
      </x:c>
      <x:c r="H213" s="82" t="n">
        <x:f>IF(R213&lt;&gt;"Rankeado","",COUNTIFS($R$5:$R$255,"Rankeado",$G$5:$G$255,"&gt;"&amp;G213)+COUNTIFS($R$5:R213,"Rankeado",$G$5:G213,G213))</x:f>
        <x:v>159</x:v>
      </x:c>
      <x:c r="I213" s="82" t="n">
        <x:f>SUM(J213:O213)</x:f>
        <x:v>300</x:v>
      </x:c>
      <x:c r="J213" s="82" t="n">
        <x:v>60</x:v>
      </x:c>
      <x:c r="K213" s="82" t="n">
        <x:v>80</x:v>
      </x:c>
      <x:c r="L213" s="82" t="n">
        <x:v>50</x:v>
      </x:c>
      <x:c r="M213" s="82" t="n">
        <x:v>40</x:v>
      </x:c>
      <x:c r="N213" s="82" t="n">
        <x:v>40</x:v>
      </x:c>
      <x:c r="O213" s="82" t="n">
        <x:v>30</x:v>
      </x:c>
      <x:c r="P213" s="82" t="str">
        <x:v>Sim</x:v>
      </x:c>
      <x:c r="Q213" s="82" t="str">
        <x:v>Não</x:v>
      </x:c>
      <x:c r="R213" s="82" t="str">
        <x:v>Rankeado</x:v>
      </x:c>
      <x:c r="S213" s="82" t="str">
        <x:v>https://poke.idleworld.online/pokepedia/pokemon/snubbull</x:v>
      </x:c>
      <x:c r="T213" s="143" t="n">
        <x:f>MAX(K213,M213)*Metodologia!$B$16</x:f>
        <x:v>104</x:v>
      </x:c>
      <x:c r="U213" s="143" t="n">
        <x:f>MIN(K213,M213)*Metodologia!$B$16</x:f>
        <x:v>52</x:v>
      </x:c>
      <x:c r="V213" s="144" t="n">
        <x:f>SQRT(J213*AVERAGE(L213,N213)*Metodologia!$B$16)</x:f>
        <x:v>59.2452529743945</x:v>
      </x:c>
    </x:row>
    <x:row r="214" ht="22" customHeight="1">
      <x:c r="A214" s="82" t="n">
        <x:v>210</x:v>
      </x:c>
      <x:c r="B214" s="82" t="str">
        <x:v>Granbull</x:v>
      </x:c>
      <x:c r="C214" s="82" t="str">
        <x:v>Fada</x:v>
      </x:c>
      <x:c r="D214" s="82" t="str">
        <x:v>Psycraft</x:v>
      </x:c>
      <x:c r="E214" s="82" t="n">
        <x:v>1</x:v>
      </x:c>
      <x:c r="F214" s="82" t="str">
        <x:f>IF(G214&gt;=80,"S+",IF(G214&gt;=72,"S",IF(G214&gt;=65,"A",IF(G214&gt;=58,"B",IF(G214&gt;=50,"C",IF(G214&gt;=42,"D","E"))))))</x:f>
        <x:v>A</x:v>
      </x:c>
      <x:c r="G214" s="142" t="n">
        <x:f>ROUND(100*(Metodologia!$B$17*(T214/Metodologia!$B$22)+Metodologia!$B$18*(U214/Metodologia!$B$23)+Metodologia!$B$19*(V214/Metodologia!$B$24)+Metodologia!$B$20*(O214/Metodologia!$B$25)+Metodologia!$B$21*(I214/Metodologia!$B$26)),2)</x:f>
        <x:v>67.12</x:v>
      </x:c>
      <x:c r="H214" s="82" t="n">
        <x:f>IF(R214&lt;&gt;"Rankeado","",COUNTIFS($R$5:$R$255,"Rankeado",$G$5:$G$255,"&gt;"&amp;G214)+COUNTIFS($R$5:R214,"Rankeado",$G$5:G214,G214))</x:f>
        <x:v>28</x:v>
      </x:c>
      <x:c r="I214" s="82" t="n">
        <x:f>SUM(J214:O214)</x:f>
        <x:v>450</x:v>
      </x:c>
      <x:c r="J214" s="82" t="n">
        <x:v>90</x:v>
      </x:c>
      <x:c r="K214" s="82" t="n">
        <x:v>120</x:v>
      </x:c>
      <x:c r="L214" s="82" t="n">
        <x:v>75</x:v>
      </x:c>
      <x:c r="M214" s="82" t="n">
        <x:v>60</x:v>
      </x:c>
      <x:c r="N214" s="82" t="n">
        <x:v>60</x:v>
      </x:c>
      <x:c r="O214" s="82" t="n">
        <x:v>45</x:v>
      </x:c>
      <x:c r="P214" s="82" t="str">
        <x:v>Sim</x:v>
      </x:c>
      <x:c r="Q214" s="82" t="str">
        <x:v>Não</x:v>
      </x:c>
      <x:c r="R214" s="82" t="str">
        <x:v>Rankeado</x:v>
      </x:c>
      <x:c r="S214" s="82" t="str">
        <x:v>https://poke.idleworld.online/pokepedia/pokemon/granbull</x:v>
      </x:c>
      <x:c r="T214" s="143" t="n">
        <x:f>MAX(K214,M214)*Metodologia!$B$16</x:f>
        <x:v>156</x:v>
      </x:c>
      <x:c r="U214" s="143" t="n">
        <x:f>MIN(K214,M214)*Metodologia!$B$16</x:f>
        <x:v>78</x:v>
      </x:c>
      <x:c r="V214" s="144" t="n">
        <x:f>SQRT(J214*AVERAGE(L214,N214)*Metodologia!$B$16)</x:f>
        <x:v>88.86787946159174</x:v>
      </x:c>
    </x:row>
    <x:row r="215" ht="22" customHeight="1">
      <x:c r="A215" s="82" t="n">
        <x:v>211</x:v>
      </x:c>
      <x:c r="B215" s="82" t="str">
        <x:v>Qwilfish</x:v>
      </x:c>
      <x:c r="C215" s="82" t="str">
        <x:v>Água / Veneno</x:v>
      </x:c>
      <x:c r="D215" s="82" t="str">
        <x:v>Seavell / Malefic</x:v>
      </x:c>
      <x:c r="E215" s="82" t="n">
        <x:v>2</x:v>
      </x:c>
      <x:c r="F215" s="82" t="str">
        <x:f>IF(G215&gt;=80,"S+",IF(G215&gt;=72,"S",IF(G215&gt;=65,"A",IF(G215&gt;=58,"B",IF(G215&gt;=50,"C",IF(G215&gt;=42,"D","E"))))))</x:f>
        <x:v>B</x:v>
      </x:c>
      <x:c r="G215" s="142" t="n">
        <x:f>ROUND(100*(Metodologia!$B$17*(T215/Metodologia!$B$22)+Metodologia!$B$18*(U215/Metodologia!$B$23)+Metodologia!$B$19*(V215/Metodologia!$B$24)+Metodologia!$B$20*(O215/Metodologia!$B$25)+Metodologia!$B$21*(I215/Metodologia!$B$26)),2)</x:f>
        <x:v>58.36</x:v>
      </x:c>
      <x:c r="H215" s="82" t="n">
        <x:f>IF(R215&lt;&gt;"Rankeado","",COUNTIFS($R$5:$R$255,"Rankeado",$G$5:$G$255,"&gt;"&amp;G215)+COUNTIFS($R$5:R215,"Rankeado",$G$5:G215,G215))</x:f>
        <x:v>80</x:v>
      </x:c>
      <x:c r="I215" s="82" t="n">
        <x:f>SUM(J215:O215)</x:f>
        <x:v>440</x:v>
      </x:c>
      <x:c r="J215" s="82" t="n">
        <x:v>65</x:v>
      </x:c>
      <x:c r="K215" s="82" t="n">
        <x:v>95</x:v>
      </x:c>
      <x:c r="L215" s="82" t="n">
        <x:v>85</x:v>
      </x:c>
      <x:c r="M215" s="82" t="n">
        <x:v>55</x:v>
      </x:c>
      <x:c r="N215" s="82" t="n">
        <x:v>55</x:v>
      </x:c>
      <x:c r="O215" s="82" t="n">
        <x:v>85</x:v>
      </x:c>
      <x:c r="P215" s="82" t="str">
        <x:v>Não</x:v>
      </x:c>
      <x:c r="Q215" s="82" t="str">
        <x:v>Não</x:v>
      </x:c>
      <x:c r="R215" s="82" t="str">
        <x:v>Rankeado</x:v>
      </x:c>
      <x:c r="S215" s="82" t="str">
        <x:v>https://poke.idleworld.online/pokepedia/pokemon/qwilfish</x:v>
      </x:c>
      <x:c r="T215" s="143" t="n">
        <x:f>MAX(K215,M215)*Metodologia!$B$16</x:f>
        <x:v>123.5</x:v>
      </x:c>
      <x:c r="U215" s="143" t="n">
        <x:f>MIN(K215,M215)*Metodologia!$B$16</x:f>
        <x:v>71.5</x:v>
      </x:c>
      <x:c r="V215" s="144" t="n">
        <x:f>SQRT(J215*AVERAGE(L215,N215)*Metodologia!$B$16)</x:f>
        <x:v>76.909037180295</x:v>
      </x:c>
    </x:row>
    <x:row r="216" ht="22" customHeight="1">
      <x:c r="A216" s="82" t="n">
        <x:v>212</x:v>
      </x:c>
      <x:c r="B216" s="82" t="str">
        <x:v>Scizor</x:v>
      </x:c>
      <x:c r="C216" s="82" t="str">
        <x:v>Inseto / Aço</x:v>
      </x:c>
      <x:c r="D216" s="82" t="str">
        <x:v>Naturia / Ironhard</x:v>
      </x:c>
      <x:c r="E216" s="82" t="n">
        <x:v>2</x:v>
      </x:c>
      <x:c r="F216" s="82" t="str">
        <x:f>IF(G216&gt;=80,"S+",IF(G216&gt;=72,"S",IF(G216&gt;=65,"A",IF(G216&gt;=58,"B",IF(G216&gt;=50,"C",IF(G216&gt;=42,"D","E"))))))</x:f>
        <x:v>S</x:v>
      </x:c>
      <x:c r="G216" s="142" t="n">
        <x:f>ROUND(100*(Metodologia!$B$17*(T216/Metodologia!$B$22)+Metodologia!$B$18*(U216/Metodologia!$B$23)+Metodologia!$B$19*(V216/Metodologia!$B$24)+Metodologia!$B$20*(O216/Metodologia!$B$25)+Metodologia!$B$21*(I216/Metodologia!$B$26)),2)</x:f>
        <x:v>72.42</x:v>
      </x:c>
      <x:c r="H216" s="82" t="n">
        <x:f>IF(R216&lt;&gt;"Rankeado","",COUNTIFS($R$5:$R$255,"Rankeado",$G$5:$G$255,"&gt;"&amp;G216)+COUNTIFS($R$5:R216,"Rankeado",$G$5:G216,G216))</x:f>
        <x:v>11</x:v>
      </x:c>
      <x:c r="I216" s="82" t="n">
        <x:f>SUM(J216:O216)</x:f>
        <x:v>500</x:v>
      </x:c>
      <x:c r="J216" s="82" t="n">
        <x:v>70</x:v>
      </x:c>
      <x:c r="K216" s="82" t="n">
        <x:v>130</x:v>
      </x:c>
      <x:c r="L216" s="82" t="n">
        <x:v>100</x:v>
      </x:c>
      <x:c r="M216" s="82" t="n">
        <x:v>55</x:v>
      </x:c>
      <x:c r="N216" s="82" t="n">
        <x:v>80</x:v>
      </x:c>
      <x:c r="O216" s="82" t="n">
        <x:v>65</x:v>
      </x:c>
      <x:c r="P216" s="82" t="str">
        <x:v>Sim</x:v>
      </x:c>
      <x:c r="Q216" s="82" t="str">
        <x:v>Não</x:v>
      </x:c>
      <x:c r="R216" s="82" t="str">
        <x:v>Rankeado</x:v>
      </x:c>
      <x:c r="S216" s="82" t="str">
        <x:v>https://poke.idleworld.online/pokepedia/pokemon/scizor</x:v>
      </x:c>
      <x:c r="T216" s="143" t="n">
        <x:f>MAX(K216,M216)*Metodologia!$B$16</x:f>
        <x:v>169</x:v>
      </x:c>
      <x:c r="U216" s="143" t="n">
        <x:f>MIN(K216,M216)*Metodologia!$B$16</x:f>
        <x:v>71.5</x:v>
      </x:c>
      <x:c r="V216" s="144" t="n">
        <x:f>SQRT(J216*AVERAGE(L216,N216)*Metodologia!$B$16)</x:f>
        <x:v>90.49861877399013</x:v>
      </x:c>
    </x:row>
    <x:row r="217" ht="22" customHeight="1">
      <x:c r="A217" s="82" t="n">
        <x:v>213</x:v>
      </x:c>
      <x:c r="B217" s="82" t="str">
        <x:v>Shuckle</x:v>
      </x:c>
      <x:c r="C217" s="82" t="str">
        <x:v>Inseto / Pedra</x:v>
      </x:c>
      <x:c r="D217" s="82" t="str">
        <x:v>Orebound / Naturia</x:v>
      </x:c>
      <x:c r="E217" s="82" t="n">
        <x:v>2</x:v>
      </x:c>
      <x:c r="F217" s="82" t="str">
        <x:f>IF(G217&gt;=80,"S+",IF(G217&gt;=72,"S",IF(G217&gt;=65,"A",IF(G217&gt;=58,"B",IF(G217&gt;=50,"C",IF(G217&gt;=42,"D","E"))))))</x:f>
        <x:v>E</x:v>
      </x:c>
      <x:c r="G217" s="142" t="n">
        <x:f>ROUND(100*(Metodologia!$B$17*(T217/Metodologia!$B$22)+Metodologia!$B$18*(U217/Metodologia!$B$23)+Metodologia!$B$19*(V217/Metodologia!$B$24)+Metodologia!$B$20*(O217/Metodologia!$B$25)+Metodologia!$B$21*(I217/Metodologia!$B$26)),2)</x:f>
        <x:v>16.33</x:v>
      </x:c>
      <x:c r="H217" s="82" t="n">
        <x:f>IF(R217&lt;&gt;"Rankeado","",COUNTIFS($R$5:$R$255,"Rankeado",$G$5:$G$255,"&gt;"&amp;G217)+COUNTIFS($R$5:R217,"Rankeado",$G$5:G217,G217))</x:f>
        <x:v>240</x:v>
      </x:c>
      <x:c r="I217" s="82" t="n">
        <x:f>SUM(J217:O217)</x:f>
        <x:v>505</x:v>
      </x:c>
      <x:c r="J217" s="82" t="n">
        <x:v>20</x:v>
      </x:c>
      <x:c r="K217" s="82" t="n">
        <x:v>10</x:v>
      </x:c>
      <x:c r="L217" s="82" t="n">
        <x:v>230</x:v>
      </x:c>
      <x:c r="M217" s="82" t="n">
        <x:v>10</x:v>
      </x:c>
      <x:c r="N217" s="82" t="n">
        <x:v>230</x:v>
      </x:c>
      <x:c r="O217" s="82" t="n">
        <x:v>5</x:v>
      </x:c>
      <x:c r="P217" s="82" t="str">
        <x:v>Não</x:v>
      </x:c>
      <x:c r="Q217" s="82" t="str">
        <x:v>Não</x:v>
      </x:c>
      <x:c r="R217" s="82" t="str">
        <x:v>Rankeado</x:v>
      </x:c>
      <x:c r="S217" s="82" t="str">
        <x:v>https://poke.idleworld.online/pokepedia/pokemon/shuckle</x:v>
      </x:c>
      <x:c r="T217" s="143" t="n">
        <x:f>MAX(K217,M217)*Metodologia!$B$16</x:f>
        <x:v>13</x:v>
      </x:c>
      <x:c r="U217" s="143" t="n">
        <x:f>MIN(K217,M217)*Metodologia!$B$16</x:f>
        <x:v>13</x:v>
      </x:c>
      <x:c r="V217" s="144" t="n">
        <x:f>SQRT(J217*AVERAGE(L217,N217)*Metodologia!$B$16)</x:f>
        <x:v>77.33045971672482</x:v>
      </x:c>
    </x:row>
    <x:row r="218" ht="22" customHeight="1">
      <x:c r="A218" s="82" t="n">
        <x:v>214</x:v>
      </x:c>
      <x:c r="B218" s="82" t="str">
        <x:v>Heracross</x:v>
      </x:c>
      <x:c r="C218" s="82" t="str">
        <x:v>Inseto / Lutador</x:v>
      </x:c>
      <x:c r="D218" s="82" t="str">
        <x:v>Naturia / Gardestrike</x:v>
      </x:c>
      <x:c r="E218" s="82" t="n">
        <x:v>2</x:v>
      </x:c>
      <x:c r="F218" s="82" t="str">
        <x:f>IF(G218&gt;=80,"S+",IF(G218&gt;=72,"S",IF(G218&gt;=65,"A",IF(G218&gt;=58,"B",IF(G218&gt;=50,"C",IF(G218&gt;=42,"D","E"))))))</x:f>
        <x:v>A</x:v>
      </x:c>
      <x:c r="G218" s="142" t="n">
        <x:f>ROUND(100*(Metodologia!$B$17*(T218/Metodologia!$B$22)+Metodologia!$B$18*(U218/Metodologia!$B$23)+Metodologia!$B$19*(V218/Metodologia!$B$24)+Metodologia!$B$20*(O218/Metodologia!$B$25)+Metodologia!$B$21*(I218/Metodologia!$B$26)),2)</x:f>
        <x:v>70.78</x:v>
      </x:c>
      <x:c r="H218" s="82" t="n">
        <x:f>IF(R218&lt;&gt;"Rankeado","",COUNTIFS($R$5:$R$255,"Rankeado",$G$5:$G$255,"&gt;"&amp;G218)+COUNTIFS($R$5:R218,"Rankeado",$G$5:G218,G218))</x:f>
        <x:v>16</x:v>
      </x:c>
      <x:c r="I218" s="82" t="n">
        <x:f>SUM(J218:O218)</x:f>
        <x:v>500</x:v>
      </x:c>
      <x:c r="J218" s="82" t="n">
        <x:v>80</x:v>
      </x:c>
      <x:c r="K218" s="82" t="n">
        <x:v>125</x:v>
      </x:c>
      <x:c r="L218" s="82" t="n">
        <x:v>75</x:v>
      </x:c>
      <x:c r="M218" s="82" t="n">
        <x:v>40</x:v>
      </x:c>
      <x:c r="N218" s="82" t="n">
        <x:v>95</x:v>
      </x:c>
      <x:c r="O218" s="82" t="n">
        <x:v>85</x:v>
      </x:c>
      <x:c r="P218" s="82" t="str">
        <x:v>Sim</x:v>
      </x:c>
      <x:c r="Q218" s="82" t="str">
        <x:v>Não</x:v>
      </x:c>
      <x:c r="R218" s="82" t="str">
        <x:v>Rankeado</x:v>
      </x:c>
      <x:c r="S218" s="82" t="str">
        <x:v>https://poke.idleworld.online/pokepedia/pokemon/heracross</x:v>
      </x:c>
      <x:c r="T218" s="143" t="n">
        <x:f>MAX(K218,M218)*Metodologia!$B$16</x:f>
        <x:v>162.5</x:v>
      </x:c>
      <x:c r="U218" s="143" t="n">
        <x:f>MIN(K218,M218)*Metodologia!$B$16</x:f>
        <x:v>52</x:v>
      </x:c>
      <x:c r="V218" s="144" t="n">
        <x:f>SQRT(J218*AVERAGE(L218,N218)*Metodologia!$B$16)</x:f>
        <x:v>94.02127418834527</x:v>
      </x:c>
    </x:row>
    <x:row r="219" ht="22" customHeight="1">
      <x:c r="A219" s="82" t="n">
        <x:v>215</x:v>
      </x:c>
      <x:c r="B219" s="82" t="str">
        <x:v>Sneasel</x:v>
      </x:c>
      <x:c r="C219" s="82" t="str">
        <x:v>Sombrio / Gelo</x:v>
      </x:c>
      <x:c r="D219" s="82" t="str">
        <x:v>Seavell / Malefic</x:v>
      </x:c>
      <x:c r="E219" s="82" t="n">
        <x:v>2</x:v>
      </x:c>
      <x:c r="F219" s="82" t="str">
        <x:f>IF(G219&gt;=80,"S+",IF(G219&gt;=72,"S",IF(G219&gt;=65,"A",IF(G219&gt;=58,"B",IF(G219&gt;=50,"C",IF(G219&gt;=42,"D","E"))))))</x:f>
        <x:v>C</x:v>
      </x:c>
      <x:c r="G219" s="142" t="n">
        <x:f>ROUND(100*(Metodologia!$B$17*(T219/Metodologia!$B$22)+Metodologia!$B$18*(U219/Metodologia!$B$23)+Metodologia!$B$19*(V219/Metodologia!$B$24)+Metodologia!$B$20*(O219/Metodologia!$B$25)+Metodologia!$B$21*(I219/Metodologia!$B$26)),2)</x:f>
        <x:v>57.62</x:v>
      </x:c>
      <x:c r="H219" s="82" t="n">
        <x:f>IF(R219&lt;&gt;"Rankeado","",COUNTIFS($R$5:$R$255,"Rankeado",$G$5:$G$255,"&gt;"&amp;G219)+COUNTIFS($R$5:R219,"Rankeado",$G$5:G219,G219))</x:f>
        <x:v>84</x:v>
      </x:c>
      <x:c r="I219" s="82" t="n">
        <x:f>SUM(J219:O219)</x:f>
        <x:v>430</x:v>
      </x:c>
      <x:c r="J219" s="82" t="n">
        <x:v>55</x:v>
      </x:c>
      <x:c r="K219" s="82" t="n">
        <x:v>95</x:v>
      </x:c>
      <x:c r="L219" s="82" t="n">
        <x:v>55</x:v>
      </x:c>
      <x:c r="M219" s="82" t="n">
        <x:v>35</x:v>
      </x:c>
      <x:c r="N219" s="82" t="n">
        <x:v>75</x:v>
      </x:c>
      <x:c r="O219" s="82" t="n">
        <x:v>115</x:v>
      </x:c>
      <x:c r="P219" s="82" t="str">
        <x:v>Não</x:v>
      </x:c>
      <x:c r="Q219" s="82" t="str">
        <x:v>Não</x:v>
      </x:c>
      <x:c r="R219" s="82" t="str">
        <x:v>Rankeado</x:v>
      </x:c>
      <x:c r="S219" s="82" t="str">
        <x:v>https://poke.idleworld.online/pokepedia/pokemon/sneasel</x:v>
      </x:c>
      <x:c r="T219" s="143" t="n">
        <x:f>MAX(K219,M219)*Metodologia!$B$16</x:f>
        <x:v>123.5</x:v>
      </x:c>
      <x:c r="U219" s="143" t="n">
        <x:f>MIN(K219,M219)*Metodologia!$B$16</x:f>
        <x:v>45.5</x:v>
      </x:c>
      <x:c r="V219" s="144" t="n">
        <x:f>SQRT(J219*AVERAGE(L219,N219)*Metodologia!$B$16)</x:f>
        <x:v>68.17257513105984</x:v>
      </x:c>
    </x:row>
    <x:row r="220" ht="22" customHeight="1">
      <x:c r="A220" s="82" t="n">
        <x:v>216</x:v>
      </x:c>
      <x:c r="B220" s="82" t="str">
        <x:v>Teddiursa</x:v>
      </x:c>
      <x:c r="C220" s="82" t="str">
        <x:v>Normal</x:v>
      </x:c>
      <x:c r="D220" s="82" t="str">
        <x:v>Gardestrike</x:v>
      </x:c>
      <x:c r="E220" s="82" t="n">
        <x:v>1</x:v>
      </x:c>
      <x:c r="F220" s="82" t="str">
        <x:f>IF(G220&gt;=80,"S+",IF(G220&gt;=72,"S",IF(G220&gt;=65,"A",IF(G220&gt;=58,"B",IF(G220&gt;=50,"C",IF(G220&gt;=42,"D","E"))))))</x:f>
        <x:v>D</x:v>
      </x:c>
      <x:c r="G220" s="142" t="n">
        <x:f>ROUND(100*(Metodologia!$B$17*(T220/Metodologia!$B$22)+Metodologia!$B$18*(U220/Metodologia!$B$23)+Metodologia!$B$19*(V220/Metodologia!$B$24)+Metodologia!$B$20*(O220/Metodologia!$B$25)+Metodologia!$B$21*(I220/Metodologia!$B$26)),2)</x:f>
        <x:v>46.85</x:v>
      </x:c>
      <x:c r="H220" s="82" t="n">
        <x:f>IF(R220&lt;&gt;"Rankeado","",COUNTIFS($R$5:$R$255,"Rankeado",$G$5:$G$255,"&gt;"&amp;G220)+COUNTIFS($R$5:R220,"Rankeado",$G$5:G220,G220))</x:f>
        <x:v>145</x:v>
      </x:c>
      <x:c r="I220" s="82" t="n">
        <x:f>SUM(J220:O220)</x:f>
        <x:v>330</x:v>
      </x:c>
      <x:c r="J220" s="82" t="n">
        <x:v>60</x:v>
      </x:c>
      <x:c r="K220" s="82" t="n">
        <x:v>80</x:v>
      </x:c>
      <x:c r="L220" s="82" t="n">
        <x:v>50</x:v>
      </x:c>
      <x:c r="M220" s="82" t="n">
        <x:v>50</x:v>
      </x:c>
      <x:c r="N220" s="82" t="n">
        <x:v>50</x:v>
      </x:c>
      <x:c r="O220" s="82" t="n">
        <x:v>40</x:v>
      </x:c>
      <x:c r="P220" s="82" t="str">
        <x:v>Sim</x:v>
      </x:c>
      <x:c r="Q220" s="82" t="str">
        <x:v>Não</x:v>
      </x:c>
      <x:c r="R220" s="82" t="str">
        <x:v>Rankeado</x:v>
      </x:c>
      <x:c r="S220" s="82" t="str">
        <x:v>https://poke.idleworld.online/pokepedia/pokemon/teddiursa</x:v>
      </x:c>
      <x:c r="T220" s="143" t="n">
        <x:f>MAX(K220,M220)*Metodologia!$B$16</x:f>
        <x:v>104</x:v>
      </x:c>
      <x:c r="U220" s="143" t="n">
        <x:f>MIN(K220,M220)*Metodologia!$B$16</x:f>
        <x:v>65</x:v>
      </x:c>
      <x:c r="V220" s="144" t="n">
        <x:f>SQRT(J220*AVERAGE(L220,N220)*Metodologia!$B$16)</x:f>
        <x:v>62.44997998398398</x:v>
      </x:c>
    </x:row>
    <x:row r="221" ht="22" customHeight="1">
      <x:c r="A221" s="82" t="n">
        <x:v>217</x:v>
      </x:c>
      <x:c r="B221" s="82" t="str">
        <x:v>Ursaring</x:v>
      </x:c>
      <x:c r="C221" s="82" t="str">
        <x:v>Normal</x:v>
      </x:c>
      <x:c r="D221" s="82" t="str">
        <x:v>Gardestrike</x:v>
      </x:c>
      <x:c r="E221" s="82" t="n">
        <x:v>1</x:v>
      </x:c>
      <x:c r="F221" s="82" t="str">
        <x:f>IF(G221&gt;=80,"S+",IF(G221&gt;=72,"S",IF(G221&gt;=65,"A",IF(G221&gt;=58,"B",IF(G221&gt;=50,"C",IF(G221&gt;=42,"D","E"))))))</x:f>
        <x:v>S</x:v>
      </x:c>
      <x:c r="G221" s="142" t="n">
        <x:f>ROUND(100*(Metodologia!$B$17*(T221/Metodologia!$B$22)+Metodologia!$B$18*(U221/Metodologia!$B$23)+Metodologia!$B$19*(V221/Metodologia!$B$24)+Metodologia!$B$20*(O221/Metodologia!$B$25)+Metodologia!$B$21*(I221/Metodologia!$B$26)),2)</x:f>
        <x:v>73.87</x:v>
      </x:c>
      <x:c r="H221" s="82" t="n">
        <x:f>IF(R221&lt;&gt;"Rankeado","",COUNTIFS($R$5:$R$255,"Rankeado",$G$5:$G$255,"&gt;"&amp;G221)+COUNTIFS($R$5:R221,"Rankeado",$G$5:G221,G221))</x:f>
        <x:v>8</x:v>
      </x:c>
      <x:c r="I221" s="82" t="n">
        <x:f>SUM(J221:O221)</x:f>
        <x:v>500</x:v>
      </x:c>
      <x:c r="J221" s="82" t="n">
        <x:v>90</x:v>
      </x:c>
      <x:c r="K221" s="82" t="n">
        <x:v>130</x:v>
      </x:c>
      <x:c r="L221" s="82" t="n">
        <x:v>75</x:v>
      </x:c>
      <x:c r="M221" s="82" t="n">
        <x:v>75</x:v>
      </x:c>
      <x:c r="N221" s="82" t="n">
        <x:v>75</x:v>
      </x:c>
      <x:c r="O221" s="82" t="n">
        <x:v>55</x:v>
      </x:c>
      <x:c r="P221" s="82" t="str">
        <x:v>Sim</x:v>
      </x:c>
      <x:c r="Q221" s="82" t="str">
        <x:v>Não</x:v>
      </x:c>
      <x:c r="R221" s="82" t="str">
        <x:v>Rankeado</x:v>
      </x:c>
      <x:c r="S221" s="82" t="str">
        <x:v>https://poke.idleworld.online/pokepedia/pokemon/ursaring</x:v>
      </x:c>
      <x:c r="T221" s="143" t="n">
        <x:f>MAX(K221,M221)*Metodologia!$B$16</x:f>
        <x:v>169</x:v>
      </x:c>
      <x:c r="U221" s="143" t="n">
        <x:f>MIN(K221,M221)*Metodologia!$B$16</x:f>
        <x:v>97.5</x:v>
      </x:c>
      <x:c r="V221" s="144" t="n">
        <x:f>SQRT(J221*AVERAGE(L221,N221)*Metodologia!$B$16)</x:f>
        <x:v>93.67496997597597</x:v>
      </x:c>
    </x:row>
    <x:row r="222" ht="22" customHeight="1">
      <x:c r="A222" s="82" t="n">
        <x:v>218</x:v>
      </x:c>
      <x:c r="B222" s="82" t="str">
        <x:v>Slugma</x:v>
      </x:c>
      <x:c r="C222" s="82" t="str">
        <x:v>Fogo</x:v>
      </x:c>
      <x:c r="D222" s="82" t="str">
        <x:v>Volcanic</x:v>
      </x:c>
      <x:c r="E222" s="82" t="n">
        <x:v>1</x:v>
      </x:c>
      <x:c r="F222" s="82" t="str">
        <x:f>IF(G222&gt;=80,"S+",IF(G222&gt;=72,"S",IF(G222&gt;=65,"A",IF(G222&gt;=58,"B",IF(G222&gt;=50,"C",IF(G222&gt;=42,"D","E"))))))</x:f>
        <x:v>E</x:v>
      </x:c>
      <x:c r="G222" s="142" t="n">
        <x:f>ROUND(100*(Metodologia!$B$17*(T222/Metodologia!$B$22)+Metodologia!$B$18*(U222/Metodologia!$B$23)+Metodologia!$B$19*(V222/Metodologia!$B$24)+Metodologia!$B$20*(O222/Metodologia!$B$25)+Metodologia!$B$21*(I222/Metodologia!$B$26)),2)</x:f>
        <x:v>38.49</x:v>
      </x:c>
      <x:c r="H222" s="82" t="n">
        <x:f>IF(R222&lt;&gt;"Rankeado","",COUNTIFS($R$5:$R$255,"Rankeado",$G$5:$G$255,"&gt;"&amp;G222)+COUNTIFS($R$5:R222,"Rankeado",$G$5:G222,G222))</x:f>
        <x:v>192</x:v>
      </x:c>
      <x:c r="I222" s="82" t="n">
        <x:f>SUM(J222:O222)</x:f>
        <x:v>250</x:v>
      </x:c>
      <x:c r="J222" s="82" t="n">
        <x:v>40</x:v>
      </x:c>
      <x:c r="K222" s="82" t="n">
        <x:v>40</x:v>
      </x:c>
      <x:c r="L222" s="82" t="n">
        <x:v>40</x:v>
      </x:c>
      <x:c r="M222" s="82" t="n">
        <x:v>70</x:v>
      </x:c>
      <x:c r="N222" s="82" t="n">
        <x:v>40</x:v>
      </x:c>
      <x:c r="O222" s="82" t="n">
        <x:v>20</x:v>
      </x:c>
      <x:c r="P222" s="82" t="str">
        <x:v>Sim</x:v>
      </x:c>
      <x:c r="Q222" s="82" t="str">
        <x:v>Não</x:v>
      </x:c>
      <x:c r="R222" s="82" t="str">
        <x:v>Rankeado</x:v>
      </x:c>
      <x:c r="S222" s="82" t="str">
        <x:v>https://poke.idleworld.online/pokepedia/pokemon/slugma</x:v>
      </x:c>
      <x:c r="T222" s="143" t="n">
        <x:f>MAX(K222,M222)*Metodologia!$B$16</x:f>
        <x:v>91</x:v>
      </x:c>
      <x:c r="U222" s="143" t="n">
        <x:f>MIN(K222,M222)*Metodologia!$B$16</x:f>
        <x:v>52</x:v>
      </x:c>
      <x:c r="V222" s="144" t="n">
        <x:f>SQRT(J222*AVERAGE(L222,N222)*Metodologia!$B$16)</x:f>
        <x:v>45.60701700396552</x:v>
      </x:c>
    </x:row>
    <x:row r="223" ht="22" customHeight="1">
      <x:c r="A223" s="82" t="n">
        <x:v>219</x:v>
      </x:c>
      <x:c r="B223" s="82" t="str">
        <x:v>Magcargo</x:v>
      </x:c>
      <x:c r="C223" s="82" t="str">
        <x:v>Fogo / Pedra</x:v>
      </x:c>
      <x:c r="D223" s="82" t="str">
        <x:v>Volcanic / Orebound</x:v>
      </x:c>
      <x:c r="E223" s="82" t="n">
        <x:v>2</x:v>
      </x:c>
      <x:c r="F223" s="82" t="str">
        <x:f>IF(G223&gt;=80,"S+",IF(G223&gt;=72,"S",IF(G223&gt;=65,"A",IF(G223&gt;=58,"B",IF(G223&gt;=50,"C",IF(G223&gt;=42,"D","E"))))))</x:f>
        <x:v>C</x:v>
      </x:c>
      <x:c r="G223" s="142" t="n">
        <x:f>ROUND(100*(Metodologia!$B$17*(T223/Metodologia!$B$22)+Metodologia!$B$18*(U223/Metodologia!$B$23)+Metodologia!$B$19*(V223/Metodologia!$B$24)+Metodologia!$B$20*(O223/Metodologia!$B$25)+Metodologia!$B$21*(I223/Metodologia!$B$26)),2)</x:f>
        <x:v>53.32</x:v>
      </x:c>
      <x:c r="H223" s="82" t="n">
        <x:f>IF(R223&lt;&gt;"Rankeado","",COUNTIFS($R$5:$R$255,"Rankeado",$G$5:$G$255,"&gt;"&amp;G223)+COUNTIFS($R$5:R223,"Rankeado",$G$5:G223,G223))</x:f>
        <x:v>112</x:v>
      </x:c>
      <x:c r="I223" s="82" t="n">
        <x:f>SUM(J223:O223)</x:f>
        <x:v>430</x:v>
      </x:c>
      <x:c r="J223" s="82" t="n">
        <x:v>60</x:v>
      </x:c>
      <x:c r="K223" s="82" t="n">
        <x:v>50</x:v>
      </x:c>
      <x:c r="L223" s="82" t="n">
        <x:v>120</x:v>
      </x:c>
      <x:c r="M223" s="82" t="n">
        <x:v>90</x:v>
      </x:c>
      <x:c r="N223" s="82" t="n">
        <x:v>80</x:v>
      </x:c>
      <x:c r="O223" s="82" t="n">
        <x:v>30</x:v>
      </x:c>
      <x:c r="P223" s="82" t="str">
        <x:v>Sim</x:v>
      </x:c>
      <x:c r="Q223" s="82" t="str">
        <x:v>Não</x:v>
      </x:c>
      <x:c r="R223" s="82" t="str">
        <x:v>Rankeado</x:v>
      </x:c>
      <x:c r="S223" s="82" t="str">
        <x:v>https://poke.idleworld.online/pokepedia/pokemon/magcargo</x:v>
      </x:c>
      <x:c r="T223" s="143" t="n">
        <x:f>MAX(K223,M223)*Metodologia!$B$16</x:f>
        <x:v>117</x:v>
      </x:c>
      <x:c r="U223" s="143" t="n">
        <x:f>MIN(K223,M223)*Metodologia!$B$16</x:f>
        <x:v>65</x:v>
      </x:c>
      <x:c r="V223" s="144" t="n">
        <x:f>SQRT(J223*AVERAGE(L223,N223)*Metodologia!$B$16)</x:f>
        <x:v>88.31760866327846</x:v>
      </x:c>
    </x:row>
    <x:row r="224" ht="22" customHeight="1">
      <x:c r="A224" s="82" t="n">
        <x:v>220</x:v>
      </x:c>
      <x:c r="B224" s="82" t="str">
        <x:v>Swinub</x:v>
      </x:c>
      <x:c r="C224" s="82" t="str">
        <x:v>Gelo / Terra</x:v>
      </x:c>
      <x:c r="D224" s="82" t="str">
        <x:v>Orebound / Seavell</x:v>
      </x:c>
      <x:c r="E224" s="82" t="n">
        <x:v>2</x:v>
      </x:c>
      <x:c r="F224" s="82" t="str">
        <x:f>IF(G224&gt;=80,"S+",IF(G224&gt;=72,"S",IF(G224&gt;=65,"A",IF(G224&gt;=58,"B",IF(G224&gt;=50,"C",IF(G224&gt;=42,"D","E"))))))</x:f>
        <x:v>E</x:v>
      </x:c>
      <x:c r="G224" s="142" t="n">
        <x:f>ROUND(100*(Metodologia!$B$17*(T224/Metodologia!$B$22)+Metodologia!$B$18*(U224/Metodologia!$B$23)+Metodologia!$B$19*(V224/Metodologia!$B$24)+Metodologia!$B$20*(O224/Metodologia!$B$25)+Metodologia!$B$21*(I224/Metodologia!$B$26)),2)</x:f>
        <x:v>31.99</x:v>
      </x:c>
      <x:c r="H224" s="82" t="n">
        <x:f>IF(R224&lt;&gt;"Rankeado","",COUNTIFS($R$5:$R$255,"Rankeado",$G$5:$G$255,"&gt;"&amp;G224)+COUNTIFS($R$5:R224,"Rankeado",$G$5:G224,G224))</x:f>
        <x:v>218</x:v>
      </x:c>
      <x:c r="I224" s="82" t="n">
        <x:f>SUM(J224:O224)</x:f>
        <x:v>250</x:v>
      </x:c>
      <x:c r="J224" s="82" t="n">
        <x:v>50</x:v>
      </x:c>
      <x:c r="K224" s="82" t="n">
        <x:v>50</x:v>
      </x:c>
      <x:c r="L224" s="82" t="n">
        <x:v>40</x:v>
      </x:c>
      <x:c r="M224" s="82" t="n">
        <x:v>30</x:v>
      </x:c>
      <x:c r="N224" s="82" t="n">
        <x:v>30</x:v>
      </x:c>
      <x:c r="O224" s="82" t="n">
        <x:v>50</x:v>
      </x:c>
      <x:c r="P224" s="82" t="str">
        <x:v>Sim</x:v>
      </x:c>
      <x:c r="Q224" s="82" t="str">
        <x:v>Não</x:v>
      </x:c>
      <x:c r="R224" s="82" t="str">
        <x:v>Rankeado</x:v>
      </x:c>
      <x:c r="S224" s="82" t="str">
        <x:v>https://poke.idleworld.online/pokepedia/pokemon/swinub</x:v>
      </x:c>
      <x:c r="T224" s="143" t="n">
        <x:f>MAX(K224,M224)*Metodologia!$B$16</x:f>
        <x:v>65</x:v>
      </x:c>
      <x:c r="U224" s="143" t="n">
        <x:f>MIN(K224,M224)*Metodologia!$B$16</x:f>
        <x:v>39</x:v>
      </x:c>
      <x:c r="V224" s="144" t="n">
        <x:f>SQRT(J224*AVERAGE(L224,N224)*Metodologia!$B$16)</x:f>
        <x:v>47.69696007084728</x:v>
      </x:c>
    </x:row>
    <x:row r="225" ht="22" customHeight="1">
      <x:c r="A225" s="82" t="n">
        <x:v>221</x:v>
      </x:c>
      <x:c r="B225" s="82" t="str">
        <x:v>Piloswine</x:v>
      </x:c>
      <x:c r="C225" s="82" t="str">
        <x:v>Gelo / Terra</x:v>
      </x:c>
      <x:c r="D225" s="82" t="str">
        <x:v>Orebound / Seavell</x:v>
      </x:c>
      <x:c r="E225" s="82" t="n">
        <x:v>2</x:v>
      </x:c>
      <x:c r="F225" s="82" t="str">
        <x:f>IF(G225&gt;=80,"S+",IF(G225&gt;=72,"S",IF(G225&gt;=65,"A",IF(G225&gt;=58,"B",IF(G225&gt;=50,"C",IF(G225&gt;=42,"D","E"))))))</x:f>
        <x:v>B</x:v>
      </x:c>
      <x:c r="G225" s="142" t="n">
        <x:f>ROUND(100*(Metodologia!$B$17*(T225/Metodologia!$B$22)+Metodologia!$B$18*(U225/Metodologia!$B$23)+Metodologia!$B$19*(V225/Metodologia!$B$24)+Metodologia!$B$20*(O225/Metodologia!$B$25)+Metodologia!$B$21*(I225/Metodologia!$B$26)),2)</x:f>
        <x:v>60.29</x:v>
      </x:c>
      <x:c r="H225" s="82" t="n">
        <x:f>IF(R225&lt;&gt;"Rankeado","",COUNTIFS($R$5:$R$255,"Rankeado",$G$5:$G$255,"&gt;"&amp;G225)+COUNTIFS($R$5:R225,"Rankeado",$G$5:G225,G225))</x:f>
        <x:v>66</x:v>
      </x:c>
      <x:c r="I225" s="82" t="n">
        <x:f>SUM(J225:O225)</x:f>
        <x:v>450</x:v>
      </x:c>
      <x:c r="J225" s="82" t="n">
        <x:v>100</x:v>
      </x:c>
      <x:c r="K225" s="82" t="n">
        <x:v>100</x:v>
      </x:c>
      <x:c r="L225" s="82" t="n">
        <x:v>80</x:v>
      </x:c>
      <x:c r="M225" s="82" t="n">
        <x:v>60</x:v>
      </x:c>
      <x:c r="N225" s="82" t="n">
        <x:v>60</x:v>
      </x:c>
      <x:c r="O225" s="82" t="n">
        <x:v>50</x:v>
      </x:c>
      <x:c r="P225" s="82" t="str">
        <x:v>Sim</x:v>
      </x:c>
      <x:c r="Q225" s="82" t="str">
        <x:v>Não</x:v>
      </x:c>
      <x:c r="R225" s="82" t="str">
        <x:v>Rankeado</x:v>
      </x:c>
      <x:c r="S225" s="82" t="str">
        <x:v>https://poke.idleworld.online/pokepedia/pokemon/piloswine</x:v>
      </x:c>
      <x:c r="T225" s="143" t="n">
        <x:f>MAX(K225,M225)*Metodologia!$B$16</x:f>
        <x:v>130</x:v>
      </x:c>
      <x:c r="U225" s="143" t="n">
        <x:f>MIN(K225,M225)*Metodologia!$B$16</x:f>
        <x:v>78</x:v>
      </x:c>
      <x:c r="V225" s="144" t="n">
        <x:f>SQRT(J225*AVERAGE(L225,N225)*Metodologia!$B$16)</x:f>
        <x:v>95.39392014169457</x:v>
      </x:c>
    </x:row>
    <x:row r="226" ht="22" customHeight="1">
      <x:c r="A226" s="82" t="n">
        <x:v>222</x:v>
      </x:c>
      <x:c r="B226" s="82" t="str">
        <x:v>Corsola</x:v>
      </x:c>
      <x:c r="C226" s="82" t="str">
        <x:v>Água / Pedra</x:v>
      </x:c>
      <x:c r="D226" s="82" t="str">
        <x:v>Orebound / Seavell</x:v>
      </x:c>
      <x:c r="E226" s="82" t="n">
        <x:v>2</x:v>
      </x:c>
      <x:c r="F226" s="82" t="str">
        <x:f>IF(G226&gt;=80,"S+",IF(G226&gt;=72,"S",IF(G226&gt;=65,"A",IF(G226&gt;=58,"B",IF(G226&gt;=50,"C",IF(G226&gt;=42,"D","E"))))))</x:f>
        <x:v>D</x:v>
      </x:c>
      <x:c r="G226" s="142" t="n">
        <x:f>ROUND(100*(Metodologia!$B$17*(T226/Metodologia!$B$22)+Metodologia!$B$18*(U226/Metodologia!$B$23)+Metodologia!$B$19*(V226/Metodologia!$B$24)+Metodologia!$B$20*(O226/Metodologia!$B$25)+Metodologia!$B$21*(I226/Metodologia!$B$26)),2)</x:f>
        <x:v>44.34</x:v>
      </x:c>
      <x:c r="H226" s="82" t="n">
        <x:f>IF(R226&lt;&gt;"Rankeado","",COUNTIFS($R$5:$R$255,"Rankeado",$G$5:$G$255,"&gt;"&amp;G226)+COUNTIFS($R$5:R226,"Rankeado",$G$5:G226,G226))</x:f>
        <x:v>160</x:v>
      </x:c>
      <x:c r="I226" s="82" t="n">
        <x:f>SUM(J226:O226)</x:f>
        <x:v>410</x:v>
      </x:c>
      <x:c r="J226" s="82" t="n">
        <x:v>65</x:v>
      </x:c>
      <x:c r="K226" s="82" t="n">
        <x:v>55</x:v>
      </x:c>
      <x:c r="L226" s="82" t="n">
        <x:v>95</x:v>
      </x:c>
      <x:c r="M226" s="82" t="n">
        <x:v>65</x:v>
      </x:c>
      <x:c r="N226" s="82" t="n">
        <x:v>95</x:v>
      </x:c>
      <x:c r="O226" s="82" t="n">
        <x:v>35</x:v>
      </x:c>
      <x:c r="P226" s="82" t="str">
        <x:v>Não</x:v>
      </x:c>
      <x:c r="Q226" s="82" t="str">
        <x:v>Não</x:v>
      </x:c>
      <x:c r="R226" s="82" t="str">
        <x:v>Rankeado</x:v>
      </x:c>
      <x:c r="S226" s="82" t="str">
        <x:v>https://poke.idleworld.online/pokepedia/pokemon/corsola</x:v>
      </x:c>
      <x:c r="T226" s="143" t="n">
        <x:f>MAX(K226,M226)*Metodologia!$B$16</x:f>
        <x:v>84.5</x:v>
      </x:c>
      <x:c r="U226" s="143" t="n">
        <x:f>MIN(K226,M226)*Metodologia!$B$16</x:f>
        <x:v>71.5</x:v>
      </x:c>
      <x:c r="V226" s="144" t="n">
        <x:f>SQRT(J226*AVERAGE(L226,N226)*Metodologia!$B$16)</x:f>
        <x:v>89.59631688858644</x:v>
      </x:c>
    </x:row>
    <x:row r="227" ht="22" customHeight="1">
      <x:c r="A227" s="82" t="n">
        <x:v>223</x:v>
      </x:c>
      <x:c r="B227" s="82" t="str">
        <x:v>Remoraid</x:v>
      </x:c>
      <x:c r="C227" s="82" t="str">
        <x:v>Água</x:v>
      </x:c>
      <x:c r="D227" s="82" t="str">
        <x:v>Seavell</x:v>
      </x:c>
      <x:c r="E227" s="82" t="n">
        <x:v>1</x:v>
      </x:c>
      <x:c r="F227" s="82" t="str">
        <x:f>IF(G227&gt;=80,"S+",IF(G227&gt;=72,"S",IF(G227&gt;=65,"A",IF(G227&gt;=58,"B",IF(G227&gt;=50,"C",IF(G227&gt;=42,"D","E"))))))</x:f>
        <x:v>E</x:v>
      </x:c>
      <x:c r="G227" s="142" t="n">
        <x:f>ROUND(100*(Metodologia!$B$17*(T227/Metodologia!$B$22)+Metodologia!$B$18*(U227/Metodologia!$B$23)+Metodologia!$B$19*(V227/Metodologia!$B$24)+Metodologia!$B$20*(O227/Metodologia!$B$25)+Metodologia!$B$21*(I227/Metodologia!$B$26)),2)</x:f>
        <x:v>41.63</x:v>
      </x:c>
      <x:c r="H227" s="82" t="n">
        <x:f>IF(R227&lt;&gt;"Rankeado","",COUNTIFS($R$5:$R$255,"Rankeado",$G$5:$G$255,"&gt;"&amp;G227)+COUNTIFS($R$5:R227,"Rankeado",$G$5:G227,G227))</x:f>
        <x:v>170</x:v>
      </x:c>
      <x:c r="I227" s="82" t="n">
        <x:f>SUM(J227:O227)</x:f>
        <x:v>300</x:v>
      </x:c>
      <x:c r="J227" s="82" t="n">
        <x:v>35</x:v>
      </x:c>
      <x:c r="K227" s="82" t="n">
        <x:v>65</x:v>
      </x:c>
      <x:c r="L227" s="82" t="n">
        <x:v>35</x:v>
      </x:c>
      <x:c r="M227" s="82" t="n">
        <x:v>65</x:v>
      </x:c>
      <x:c r="N227" s="82" t="n">
        <x:v>35</x:v>
      </x:c>
      <x:c r="O227" s="82" t="n">
        <x:v>65</x:v>
      </x:c>
      <x:c r="P227" s="82" t="str">
        <x:v>Não</x:v>
      </x:c>
      <x:c r="Q227" s="82" t="str">
        <x:v>Não</x:v>
      </x:c>
      <x:c r="R227" s="82" t="str">
        <x:v>Rankeado</x:v>
      </x:c>
      <x:c r="S227" s="82" t="str">
        <x:v>https://poke.idleworld.online/pokepedia/pokemon/remoraid</x:v>
      </x:c>
      <x:c r="T227" s="143" t="n">
        <x:f>MAX(K227,M227)*Metodologia!$B$16</x:f>
        <x:v>84.5</x:v>
      </x:c>
      <x:c r="U227" s="143" t="n">
        <x:f>MIN(K227,M227)*Metodologia!$B$16</x:f>
        <x:v>84.5</x:v>
      </x:c>
      <x:c r="V227" s="144" t="n">
        <x:f>SQRT(J227*AVERAGE(L227,N227)*Metodologia!$B$16)</x:f>
        <x:v>39.90613987846983</x:v>
      </x:c>
    </x:row>
    <x:row r="228" ht="22" customHeight="1">
      <x:c r="A228" s="82" t="n">
        <x:v>224</x:v>
      </x:c>
      <x:c r="B228" s="82" t="str">
        <x:v>Octillery</x:v>
      </x:c>
      <x:c r="C228" s="82" t="str">
        <x:v>Água</x:v>
      </x:c>
      <x:c r="D228" s="82" t="str">
        <x:v>Seavell</x:v>
      </x:c>
      <x:c r="E228" s="82" t="n">
        <x:v>1</x:v>
      </x:c>
      <x:c r="F228" s="82" t="str">
        <x:f>IF(G228&gt;=80,"S+",IF(G228&gt;=72,"S",IF(G228&gt;=65,"A",IF(G228&gt;=58,"B",IF(G228&gt;=50,"C",IF(G228&gt;=42,"D","E"))))))</x:f>
        <x:v>A</x:v>
      </x:c>
      <x:c r="G228" s="142" t="n">
        <x:f>ROUND(100*(Metodologia!$B$17*(T228/Metodologia!$B$22)+Metodologia!$B$18*(U228/Metodologia!$B$23)+Metodologia!$B$19*(V228/Metodologia!$B$24)+Metodologia!$B$20*(O228/Metodologia!$B$25)+Metodologia!$B$21*(I228/Metodologia!$B$26)),2)</x:f>
        <x:v>65.26</x:v>
      </x:c>
      <x:c r="H228" s="82" t="n">
        <x:f>IF(R228&lt;&gt;"Rankeado","",COUNTIFS($R$5:$R$255,"Rankeado",$G$5:$G$255,"&gt;"&amp;G228)+COUNTIFS($R$5:R228,"Rankeado",$G$5:G228,G228))</x:f>
        <x:v>40</x:v>
      </x:c>
      <x:c r="I228" s="82" t="n">
        <x:f>SUM(J228:O228)</x:f>
        <x:v>480</x:v>
      </x:c>
      <x:c r="J228" s="82" t="n">
        <x:v>75</x:v>
      </x:c>
      <x:c r="K228" s="82" t="n">
        <x:v>105</x:v>
      </x:c>
      <x:c r="L228" s="82" t="n">
        <x:v>75</x:v>
      </x:c>
      <x:c r="M228" s="82" t="n">
        <x:v>105</x:v>
      </x:c>
      <x:c r="N228" s="82" t="n">
        <x:v>75</x:v>
      </x:c>
      <x:c r="O228" s="82" t="n">
        <x:v>45</x:v>
      </x:c>
      <x:c r="P228" s="82" t="str">
        <x:v>Não</x:v>
      </x:c>
      <x:c r="Q228" s="82" t="str">
        <x:v>Não</x:v>
      </x:c>
      <x:c r="R228" s="82" t="str">
        <x:v>Rankeado</x:v>
      </x:c>
      <x:c r="S228" s="82" t="str">
        <x:v>https://poke.idleworld.online/pokepedia/pokemon/octillery</x:v>
      </x:c>
      <x:c r="T228" s="143" t="n">
        <x:f>MAX(K228,M228)*Metodologia!$B$16</x:f>
        <x:v>136.5</x:v>
      </x:c>
      <x:c r="U228" s="143" t="n">
        <x:f>MIN(K228,M228)*Metodologia!$B$16</x:f>
        <x:v>136.5</x:v>
      </x:c>
      <x:c r="V228" s="144" t="n">
        <x:f>SQRT(J228*AVERAGE(L228,N228)*Metodologia!$B$16)</x:f>
        <x:v>85.51315688243535</x:v>
      </x:c>
    </x:row>
    <x:row r="229" ht="22" customHeight="1">
      <x:c r="A229" s="82" t="n">
        <x:v>225</x:v>
      </x:c>
      <x:c r="B229" s="82" t="str">
        <x:v>Delibird</x:v>
      </x:c>
      <x:c r="C229" s="82" t="str">
        <x:v>Gelo / Voador</x:v>
      </x:c>
      <x:c r="D229" s="82" t="str">
        <x:v>Wingeon / Seavell</x:v>
      </x:c>
      <x:c r="E229" s="82" t="n">
        <x:v>2</x:v>
      </x:c>
      <x:c r="F229" s="82" t="str">
        <x:f>IF(G229&gt;=80,"S+",IF(G229&gt;=72,"S",IF(G229&gt;=65,"A",IF(G229&gt;=58,"B",IF(G229&gt;=50,"C",IF(G229&gt;=42,"D","E"))))))</x:f>
        <x:v>D</x:v>
      </x:c>
      <x:c r="G229" s="142" t="n">
        <x:f>ROUND(100*(Metodologia!$B$17*(T229/Metodologia!$B$22)+Metodologia!$B$18*(U229/Metodologia!$B$23)+Metodologia!$B$19*(V229/Metodologia!$B$24)+Metodologia!$B$20*(O229/Metodologia!$B$25)+Metodologia!$B$21*(I229/Metodologia!$B$26)),2)</x:f>
        <x:v>42.72</x:v>
      </x:c>
      <x:c r="H229" s="82" t="n">
        <x:f>IF(R229&lt;&gt;"Rankeado","",COUNTIFS($R$5:$R$255,"Rankeado",$G$5:$G$255,"&gt;"&amp;G229)+COUNTIFS($R$5:R229,"Rankeado",$G$5:G229,G229))</x:f>
        <x:v>167</x:v>
      </x:c>
      <x:c r="I229" s="82" t="n">
        <x:f>SUM(J229:O229)</x:f>
        <x:v>330</x:v>
      </x:c>
      <x:c r="J229" s="82" t="n">
        <x:v>45</x:v>
      </x:c>
      <x:c r="K229" s="82" t="n">
        <x:v>55</x:v>
      </x:c>
      <x:c r="L229" s="82" t="n">
        <x:v>45</x:v>
      </x:c>
      <x:c r="M229" s="82" t="n">
        <x:v>65</x:v>
      </x:c>
      <x:c r="N229" s="82" t="n">
        <x:v>45</x:v>
      </x:c>
      <x:c r="O229" s="82" t="n">
        <x:v>75</x:v>
      </x:c>
      <x:c r="P229" s="82" t="str">
        <x:v>Não</x:v>
      </x:c>
      <x:c r="Q229" s="82" t="str">
        <x:v>Não</x:v>
      </x:c>
      <x:c r="R229" s="82" t="str">
        <x:v>Rankeado</x:v>
      </x:c>
      <x:c r="S229" s="82" t="str">
        <x:v>https://poke.idleworld.online/pokepedia/pokemon/delibird</x:v>
      </x:c>
      <x:c r="T229" s="143" t="n">
        <x:f>MAX(K229,M229)*Metodologia!$B$16</x:f>
        <x:v>84.5</x:v>
      </x:c>
      <x:c r="U229" s="143" t="n">
        <x:f>MIN(K229,M229)*Metodologia!$B$16</x:f>
        <x:v>71.5</x:v>
      </x:c>
      <x:c r="V229" s="144" t="n">
        <x:f>SQRT(J229*AVERAGE(L229,N229)*Metodologia!$B$16)</x:f>
        <x:v>51.30789412946121</x:v>
      </x:c>
    </x:row>
    <x:row r="230" ht="22" customHeight="1">
      <x:c r="A230" s="82" t="n">
        <x:v>226</x:v>
      </x:c>
      <x:c r="B230" s="82" t="str">
        <x:v>Mantine</x:v>
      </x:c>
      <x:c r="C230" s="82" t="str">
        <x:v>Água / Voador</x:v>
      </x:c>
      <x:c r="D230" s="82" t="str">
        <x:v>Wingeon / Seavell</x:v>
      </x:c>
      <x:c r="E230" s="82" t="n">
        <x:v>2</x:v>
      </x:c>
      <x:c r="F230" s="82" t="str">
        <x:f>IF(G230&gt;=80,"S+",IF(G230&gt;=72,"S",IF(G230&gt;=65,"A",IF(G230&gt;=58,"B",IF(G230&gt;=50,"C",IF(G230&gt;=42,"D","E"))))))</x:f>
        <x:v>C</x:v>
      </x:c>
      <x:c r="G230" s="142" t="n">
        <x:f>ROUND(100*(Metodologia!$B$17*(T230/Metodologia!$B$22)+Metodologia!$B$18*(U230/Metodologia!$B$23)+Metodologia!$B$19*(V230/Metodologia!$B$24)+Metodologia!$B$20*(O230/Metodologia!$B$25)+Metodologia!$B$21*(I230/Metodologia!$B$26)),2)</x:f>
        <x:v>53.46</x:v>
      </x:c>
      <x:c r="H230" s="82" t="n">
        <x:f>IF(R230&lt;&gt;"Rankeado","",COUNTIFS($R$5:$R$255,"Rankeado",$G$5:$G$255,"&gt;"&amp;G230)+COUNTIFS($R$5:R230,"Rankeado",$G$5:G230,G230))</x:f>
        <x:v>111</x:v>
      </x:c>
      <x:c r="I230" s="82" t="n">
        <x:f>SUM(J230:O230)</x:f>
        <x:v>485</x:v>
      </x:c>
      <x:c r="J230" s="82" t="n">
        <x:v>85</x:v>
      </x:c>
      <x:c r="K230" s="82" t="n">
        <x:v>40</x:v>
      </x:c>
      <x:c r="L230" s="82" t="n">
        <x:v>70</x:v>
      </x:c>
      <x:c r="M230" s="82" t="n">
        <x:v>80</x:v>
      </x:c>
      <x:c r="N230" s="82" t="n">
        <x:v>140</x:v>
      </x:c>
      <x:c r="O230" s="82" t="n">
        <x:v>70</x:v>
      </x:c>
      <x:c r="P230" s="82" t="str">
        <x:v>Sim</x:v>
      </x:c>
      <x:c r="Q230" s="82" t="str">
        <x:v>Não</x:v>
      </x:c>
      <x:c r="R230" s="82" t="str">
        <x:v>Rankeado</x:v>
      </x:c>
      <x:c r="S230" s="82" t="str">
        <x:v>https://poke.idleworld.online/pokepedia/pokemon/mantine</x:v>
      </x:c>
      <x:c r="T230" s="143" t="n">
        <x:f>MAX(K230,M230)*Metodologia!$B$16</x:f>
        <x:v>104</x:v>
      </x:c>
      <x:c r="U230" s="143" t="n">
        <x:f>MIN(K230,M230)*Metodologia!$B$16</x:f>
        <x:v>52</x:v>
      </x:c>
      <x:c r="V230" s="144" t="n">
        <x:f>SQRT(J230*AVERAGE(L230,N230)*Metodologia!$B$16)</x:f>
        <x:v>107.71490147607247</x:v>
      </x:c>
    </x:row>
    <x:row r="231" ht="22" customHeight="1">
      <x:c r="A231" s="82" t="n">
        <x:v>227</x:v>
      </x:c>
      <x:c r="B231" s="82" t="str">
        <x:v>Skarmory</x:v>
      </x:c>
      <x:c r="C231" s="82" t="str">
        <x:v>Aço / Voador</x:v>
      </x:c>
      <x:c r="D231" s="82" t="str">
        <x:v>Ironhard / Wingeon</x:v>
      </x:c>
      <x:c r="E231" s="82" t="n">
        <x:v>2</x:v>
      </x:c>
      <x:c r="F231" s="82" t="str">
        <x:f>IF(G231&gt;=80,"S+",IF(G231&gt;=72,"S",IF(G231&gt;=65,"A",IF(G231&gt;=58,"B",IF(G231&gt;=50,"C",IF(G231&gt;=42,"D","E"))))))</x:f>
        <x:v>C</x:v>
      </x:c>
      <x:c r="G231" s="142" t="n">
        <x:f>ROUND(100*(Metodologia!$B$17*(T231/Metodologia!$B$22)+Metodologia!$B$18*(U231/Metodologia!$B$23)+Metodologia!$B$19*(V231/Metodologia!$B$24)+Metodologia!$B$20*(O231/Metodologia!$B$25)+Metodologia!$B$21*(I231/Metodologia!$B$26)),2)</x:f>
        <x:v>52</x:v>
      </x:c>
      <x:c r="H231" s="82" t="n">
        <x:f>IF(R231&lt;&gt;"Rankeado","",COUNTIFS($R$5:$R$255,"Rankeado",$G$5:$G$255,"&gt;"&amp;G231)+COUNTIFS($R$5:R231,"Rankeado",$G$5:G231,G231))</x:f>
        <x:v>120</x:v>
      </x:c>
      <x:c r="I231" s="82" t="n">
        <x:f>SUM(J231:O231)</x:f>
        <x:v>465</x:v>
      </x:c>
      <x:c r="J231" s="82" t="n">
        <x:v>65</x:v>
      </x:c>
      <x:c r="K231" s="82" t="n">
        <x:v>80</x:v>
      </x:c>
      <x:c r="L231" s="82" t="n">
        <x:v>140</x:v>
      </x:c>
      <x:c r="M231" s="82" t="n">
        <x:v>40</x:v>
      </x:c>
      <x:c r="N231" s="82" t="n">
        <x:v>70</x:v>
      </x:c>
      <x:c r="O231" s="82" t="n">
        <x:v>70</x:v>
      </x:c>
      <x:c r="P231" s="82" t="str">
        <x:v>Sim</x:v>
      </x:c>
      <x:c r="Q231" s="82" t="str">
        <x:v>Não</x:v>
      </x:c>
      <x:c r="R231" s="82" t="str">
        <x:v>Rankeado</x:v>
      </x:c>
      <x:c r="S231" s="82" t="str">
        <x:v>https://poke.idleworld.online/pokepedia/pokemon/skarmory</x:v>
      </x:c>
      <x:c r="T231" s="143" t="n">
        <x:f>MAX(K231,M231)*Metodologia!$B$16</x:f>
        <x:v>104</x:v>
      </x:c>
      <x:c r="U231" s="143" t="n">
        <x:f>MIN(K231,M231)*Metodologia!$B$16</x:f>
        <x:v>52</x:v>
      </x:c>
      <x:c r="V231" s="144" t="n">
        <x:f>SQRT(J231*AVERAGE(L231,N231)*Metodologia!$B$16)</x:f>
        <x:v>94.19394885023135</x:v>
      </x:c>
    </x:row>
    <x:row r="232" ht="22" customHeight="1">
      <x:c r="A232" s="82" t="n">
        <x:v>228</x:v>
      </x:c>
      <x:c r="B232" s="82" t="str">
        <x:v>Houndour</x:v>
      </x:c>
      <x:c r="C232" s="82" t="str">
        <x:v>Sombrio / Fogo</x:v>
      </x:c>
      <x:c r="D232" s="82" t="str">
        <x:v>Volcanic / Malefic</x:v>
      </x:c>
      <x:c r="E232" s="82" t="n">
        <x:v>2</x:v>
      </x:c>
      <x:c r="F232" s="82" t="str">
        <x:f>IF(G232&gt;=80,"S+",IF(G232&gt;=72,"S",IF(G232&gt;=65,"A",IF(G232&gt;=58,"B",IF(G232&gt;=50,"C",IF(G232&gt;=42,"D","E"))))))</x:f>
        <x:v>D</x:v>
      </x:c>
      <x:c r="G232" s="142" t="n">
        <x:f>ROUND(100*(Metodologia!$B$17*(T232/Metodologia!$B$22)+Metodologia!$B$18*(U232/Metodologia!$B$23)+Metodologia!$B$19*(V232/Metodologia!$B$24)+Metodologia!$B$20*(O232/Metodologia!$B$25)+Metodologia!$B$21*(I232/Metodologia!$B$26)),2)</x:f>
        <x:v>48.06</x:v>
      </x:c>
      <x:c r="H232" s="82" t="n">
        <x:f>IF(R232&lt;&gt;"Rankeado","",COUNTIFS($R$5:$R$255,"Rankeado",$G$5:$G$255,"&gt;"&amp;G232)+COUNTIFS($R$5:R232,"Rankeado",$G$5:G232,G232))</x:f>
        <x:v>140</x:v>
      </x:c>
      <x:c r="I232" s="82" t="n">
        <x:f>SUM(J232:O232)</x:f>
        <x:v>330</x:v>
      </x:c>
      <x:c r="J232" s="82" t="n">
        <x:v>45</x:v>
      </x:c>
      <x:c r="K232" s="82" t="n">
        <x:v>60</x:v>
      </x:c>
      <x:c r="L232" s="82" t="n">
        <x:v>30</x:v>
      </x:c>
      <x:c r="M232" s="82" t="n">
        <x:v>80</x:v>
      </x:c>
      <x:c r="N232" s="82" t="n">
        <x:v>50</x:v>
      </x:c>
      <x:c r="O232" s="82" t="n">
        <x:v>65</x:v>
      </x:c>
      <x:c r="P232" s="82" t="str">
        <x:v>Sim</x:v>
      </x:c>
      <x:c r="Q232" s="82" t="str">
        <x:v>Não</x:v>
      </x:c>
      <x:c r="R232" s="82" t="str">
        <x:v>Rankeado</x:v>
      </x:c>
      <x:c r="S232" s="82" t="str">
        <x:v>https://poke.idleworld.online/pokepedia/pokemon/houndour</x:v>
      </x:c>
      <x:c r="T232" s="143" t="n">
        <x:f>MAX(K232,M232)*Metodologia!$B$16</x:f>
        <x:v>104</x:v>
      </x:c>
      <x:c r="U232" s="143" t="n">
        <x:f>MIN(K232,M232)*Metodologia!$B$16</x:f>
        <x:v>78</x:v>
      </x:c>
      <x:c r="V232" s="144" t="n">
        <x:f>SQRT(J232*AVERAGE(L232,N232)*Metodologia!$B$16)</x:f>
        <x:v>48.373546489791295</x:v>
      </x:c>
    </x:row>
    <x:row r="233" ht="22" customHeight="1">
      <x:c r="A233" s="82" t="n">
        <x:v>229</x:v>
      </x:c>
      <x:c r="B233" s="82" t="str">
        <x:v>Houndoom</x:v>
      </x:c>
      <x:c r="C233" s="82" t="str">
        <x:v>Sombrio / Fogo</x:v>
      </x:c>
      <x:c r="D233" s="82" t="str">
        <x:v>Volcanic / Malefic</x:v>
      </x:c>
      <x:c r="E233" s="82" t="n">
        <x:v>2</x:v>
      </x:c>
      <x:c r="F233" s="82" t="str">
        <x:f>IF(G233&gt;=80,"S+",IF(G233&gt;=72,"S",IF(G233&gt;=65,"A",IF(G233&gt;=58,"B",IF(G233&gt;=50,"C",IF(G233&gt;=42,"D","E"))))))</x:f>
        <x:v>A</x:v>
      </x:c>
      <x:c r="G233" s="142" t="n">
        <x:f>ROUND(100*(Metodologia!$B$17*(T233/Metodologia!$B$22)+Metodologia!$B$18*(U233/Metodologia!$B$23)+Metodologia!$B$19*(V233/Metodologia!$B$24)+Metodologia!$B$20*(O233/Metodologia!$B$25)+Metodologia!$B$21*(I233/Metodologia!$B$26)),2)</x:f>
        <x:v>68.75</x:v>
      </x:c>
      <x:c r="H233" s="82" t="n">
        <x:f>IF(R233&lt;&gt;"Rankeado","",COUNTIFS($R$5:$R$255,"Rankeado",$G$5:$G$255,"&gt;"&amp;G233)+COUNTIFS($R$5:R233,"Rankeado",$G$5:G233,G233))</x:f>
        <x:v>22</x:v>
      </x:c>
      <x:c r="I233" s="82" t="n">
        <x:f>SUM(J233:O233)</x:f>
        <x:v>500</x:v>
      </x:c>
      <x:c r="J233" s="82" t="n">
        <x:v>75</x:v>
      </x:c>
      <x:c r="K233" s="82" t="n">
        <x:v>90</x:v>
      </x:c>
      <x:c r="L233" s="82" t="n">
        <x:v>50</x:v>
      </x:c>
      <x:c r="M233" s="82" t="n">
        <x:v>110</x:v>
      </x:c>
      <x:c r="N233" s="82" t="n">
        <x:v>80</x:v>
      </x:c>
      <x:c r="O233" s="82" t="n">
        <x:v>95</x:v>
      </x:c>
      <x:c r="P233" s="82" t="str">
        <x:v>Sim</x:v>
      </x:c>
      <x:c r="Q233" s="82" t="str">
        <x:v>Não</x:v>
      </x:c>
      <x:c r="R233" s="82" t="str">
        <x:v>Rankeado</x:v>
      </x:c>
      <x:c r="S233" s="82" t="str">
        <x:v>https://poke.idleworld.online/pokepedia/pokemon/houndoom</x:v>
      </x:c>
      <x:c r="T233" s="143" t="n">
        <x:f>MAX(K233,M233)*Metodologia!$B$16</x:f>
        <x:v>143</x:v>
      </x:c>
      <x:c r="U233" s="143" t="n">
        <x:f>MIN(K233,M233)*Metodologia!$B$16</x:f>
        <x:v>117</x:v>
      </x:c>
      <x:c r="V233" s="144" t="n">
        <x:f>SQRT(J233*AVERAGE(L233,N233)*Metodologia!$B$16)</x:f>
        <x:v>79.60841664045329</x:v>
      </x:c>
    </x:row>
    <x:row r="234" ht="22" customHeight="1">
      <x:c r="A234" s="82" t="n">
        <x:v>230</x:v>
      </x:c>
      <x:c r="B234" s="82" t="str">
        <x:v>Kingdra</x:v>
      </x:c>
      <x:c r="C234" s="82" t="str">
        <x:v>Água / Dragão</x:v>
      </x:c>
      <x:c r="D234" s="82" t="str">
        <x:v>Wingeon / Seavell</x:v>
      </x:c>
      <x:c r="E234" s="82" t="n">
        <x:v>2</x:v>
      </x:c>
      <x:c r="F234" s="82" t="str">
        <x:f>IF(G234&gt;=80,"S+",IF(G234&gt;=72,"S",IF(G234&gt;=65,"A",IF(G234&gt;=58,"B",IF(G234&gt;=50,"C",IF(G234&gt;=42,"D","E"))))))</x:f>
        <x:v>B</x:v>
      </x:c>
      <x:c r="G234" s="142" t="n">
        <x:f>ROUND(100*(Metodologia!$B$17*(T234/Metodologia!$B$22)+Metodologia!$B$18*(U234/Metodologia!$B$23)+Metodologia!$B$19*(V234/Metodologia!$B$24)+Metodologia!$B$20*(O234/Metodologia!$B$25)+Metodologia!$B$21*(I234/Metodologia!$B$26)),2)</x:f>
        <x:v>64.6</x:v>
      </x:c>
      <x:c r="H234" s="82" t="n">
        <x:f>IF(R234&lt;&gt;"Rankeado","",COUNTIFS($R$5:$R$255,"Rankeado",$G$5:$G$255,"&gt;"&amp;G234)+COUNTIFS($R$5:R234,"Rankeado",$G$5:G234,G234))</x:f>
        <x:v>46</x:v>
      </x:c>
      <x:c r="I234" s="82" t="n">
        <x:f>SUM(J234:O234)</x:f>
        <x:v>540</x:v>
      </x:c>
      <x:c r="J234" s="82" t="n">
        <x:v>75</x:v>
      </x:c>
      <x:c r="K234" s="82" t="n">
        <x:v>95</x:v>
      </x:c>
      <x:c r="L234" s="82" t="n">
        <x:v>95</x:v>
      </x:c>
      <x:c r="M234" s="82" t="n">
        <x:v>95</x:v>
      </x:c>
      <x:c r="N234" s="82" t="n">
        <x:v>95</x:v>
      </x:c>
      <x:c r="O234" s="82" t="n">
        <x:v>85</x:v>
      </x:c>
      <x:c r="P234" s="82" t="str">
        <x:v>Sim</x:v>
      </x:c>
      <x:c r="Q234" s="82" t="str">
        <x:v>Não</x:v>
      </x:c>
      <x:c r="R234" s="82" t="str">
        <x:v>Rankeado</x:v>
      </x:c>
      <x:c r="S234" s="82" t="str">
        <x:v>https://poke.idleworld.online/pokepedia/pokemon/kingdra</x:v>
      </x:c>
      <x:c r="T234" s="143" t="n">
        <x:f>MAX(K234,M234)*Metodologia!$B$16</x:f>
        <x:v>123.5</x:v>
      </x:c>
      <x:c r="U234" s="143" t="n">
        <x:f>MIN(K234,M234)*Metodologia!$B$16</x:f>
        <x:v>123.5</x:v>
      </x:c>
      <x:c r="V234" s="144" t="n">
        <x:f>SQRT(J234*AVERAGE(L234,N234)*Metodologia!$B$16)</x:f>
        <x:v>96.24188277460078</x:v>
      </x:c>
    </x:row>
    <x:row r="235" ht="22" customHeight="1">
      <x:c r="A235" s="82" t="n">
        <x:v>231</x:v>
      </x:c>
      <x:c r="B235" s="82" t="str">
        <x:v>Phanpy</x:v>
      </x:c>
      <x:c r="C235" s="82" t="str">
        <x:v>Terra</x:v>
      </x:c>
      <x:c r="D235" s="82" t="str">
        <x:v>Orebound</x:v>
      </x:c>
      <x:c r="E235" s="82" t="n">
        <x:v>1</x:v>
      </x:c>
      <x:c r="F235" s="82" t="str">
        <x:f>IF(G235&gt;=80,"S+",IF(G235&gt;=72,"S",IF(G235&gt;=65,"A",IF(G235&gt;=58,"B",IF(G235&gt;=50,"C",IF(G235&gt;=42,"D","E"))))))</x:f>
        <x:v>E</x:v>
      </x:c>
      <x:c r="G235" s="142" t="n">
        <x:f>ROUND(100*(Metodologia!$B$17*(T235/Metodologia!$B$22)+Metodologia!$B$18*(U235/Metodologia!$B$23)+Metodologia!$B$19*(V235/Metodologia!$B$24)+Metodologia!$B$20*(O235/Metodologia!$B$25)+Metodologia!$B$21*(I235/Metodologia!$B$26)),2)</x:f>
        <x:v>39.51</x:v>
      </x:c>
      <x:c r="H235" s="82" t="n">
        <x:f>IF(R235&lt;&gt;"Rankeado","",COUNTIFS($R$5:$R$255,"Rankeado",$G$5:$G$255,"&gt;"&amp;G235)+COUNTIFS($R$5:R235,"Rankeado",$G$5:G235,G235))</x:f>
        <x:v>182</x:v>
      </x:c>
      <x:c r="I235" s="82" t="n">
        <x:f>SUM(J235:O235)</x:f>
        <x:v>330</x:v>
      </x:c>
      <x:c r="J235" s="82" t="n">
        <x:v>90</x:v>
      </x:c>
      <x:c r="K235" s="82" t="n">
        <x:v>60</x:v>
      </x:c>
      <x:c r="L235" s="82" t="n">
        <x:v>60</x:v>
      </x:c>
      <x:c r="M235" s="82" t="n">
        <x:v>40</x:v>
      </x:c>
      <x:c r="N235" s="82" t="n">
        <x:v>40</x:v>
      </x:c>
      <x:c r="O235" s="82" t="n">
        <x:v>40</x:v>
      </x:c>
      <x:c r="P235" s="82" t="str">
        <x:v>Sim</x:v>
      </x:c>
      <x:c r="Q235" s="82" t="str">
        <x:v>Não</x:v>
      </x:c>
      <x:c r="R235" s="82" t="str">
        <x:v>Rankeado</x:v>
      </x:c>
      <x:c r="S235" s="82" t="str">
        <x:v>https://poke.idleworld.online/pokepedia/pokemon/phanpy</x:v>
      </x:c>
      <x:c r="T235" s="143" t="n">
        <x:f>MAX(K235,M235)*Metodologia!$B$16</x:f>
        <x:v>78</x:v>
      </x:c>
      <x:c r="U235" s="143" t="n">
        <x:f>MIN(K235,M235)*Metodologia!$B$16</x:f>
        <x:v>52</x:v>
      </x:c>
      <x:c r="V235" s="144" t="n">
        <x:f>SQRT(J235*AVERAGE(L235,N235)*Metodologia!$B$16)</x:f>
        <x:v>76.48529270389177</x:v>
      </x:c>
    </x:row>
    <x:row r="236" ht="22" customHeight="1">
      <x:c r="A236" s="82" t="n">
        <x:v>232</x:v>
      </x:c>
      <x:c r="B236" s="82" t="str">
        <x:v>Donphan</x:v>
      </x:c>
      <x:c r="C236" s="82" t="str">
        <x:v>Terra</x:v>
      </x:c>
      <x:c r="D236" s="82" t="str">
        <x:v>Orebound</x:v>
      </x:c>
      <x:c r="E236" s="82" t="n">
        <x:v>1</x:v>
      </x:c>
      <x:c r="F236" s="82" t="str">
        <x:f>IF(G236&gt;=80,"S+",IF(G236&gt;=72,"S",IF(G236&gt;=65,"A",IF(G236&gt;=58,"B",IF(G236&gt;=50,"C",IF(G236&gt;=42,"D","E"))))))</x:f>
        <x:v>A</x:v>
      </x:c>
      <x:c r="G236" s="142" t="n">
        <x:f>ROUND(100*(Metodologia!$B$17*(T236/Metodologia!$B$22)+Metodologia!$B$18*(U236/Metodologia!$B$23)+Metodologia!$B$19*(V236/Metodologia!$B$24)+Metodologia!$B$20*(O236/Metodologia!$B$25)+Metodologia!$B$21*(I236/Metodologia!$B$26)),2)</x:f>
        <x:v>69.15</x:v>
      </x:c>
      <x:c r="H236" s="82" t="n">
        <x:f>IF(R236&lt;&gt;"Rankeado","",COUNTIFS($R$5:$R$255,"Rankeado",$G$5:$G$255,"&gt;"&amp;G236)+COUNTIFS($R$5:R236,"Rankeado",$G$5:G236,G236))</x:f>
        <x:v>19</x:v>
      </x:c>
      <x:c r="I236" s="82" t="n">
        <x:f>SUM(J236:O236)</x:f>
        <x:v>500</x:v>
      </x:c>
      <x:c r="J236" s="82" t="n">
        <x:v>90</x:v>
      </x:c>
      <x:c r="K236" s="82" t="n">
        <x:v>120</x:v>
      </x:c>
      <x:c r="L236" s="82" t="n">
        <x:v>120</x:v>
      </x:c>
      <x:c r="M236" s="82" t="n">
        <x:v>60</x:v>
      </x:c>
      <x:c r="N236" s="82" t="n">
        <x:v>60</x:v>
      </x:c>
      <x:c r="O236" s="82" t="n">
        <x:v>50</x:v>
      </x:c>
      <x:c r="P236" s="82" t="str">
        <x:v>Sim</x:v>
      </x:c>
      <x:c r="Q236" s="82" t="str">
        <x:v>Não</x:v>
      </x:c>
      <x:c r="R236" s="82" t="str">
        <x:v>Rankeado</x:v>
      </x:c>
      <x:c r="S236" s="82" t="str">
        <x:v>https://poke.idleworld.online/pokepedia/pokemon/donphan</x:v>
      </x:c>
      <x:c r="T236" s="143" t="n">
        <x:f>MAX(K236,M236)*Metodologia!$B$16</x:f>
        <x:v>156</x:v>
      </x:c>
      <x:c r="U236" s="143" t="n">
        <x:f>MIN(K236,M236)*Metodologia!$B$16</x:f>
        <x:v>78</x:v>
      </x:c>
      <x:c r="V236" s="144" t="n">
        <x:f>SQRT(J236*AVERAGE(L236,N236)*Metodologia!$B$16)</x:f>
        <x:v>102.61578825892242</x:v>
      </x:c>
    </x:row>
    <x:row r="237" ht="22" customHeight="1">
      <x:c r="A237" s="82" t="n">
        <x:v>233</x:v>
      </x:c>
      <x:c r="B237" s="82" t="str">
        <x:v>Porygon2</x:v>
      </x:c>
      <x:c r="C237" s="82" t="str">
        <x:v>Normal</x:v>
      </x:c>
      <x:c r="D237" s="82" t="str">
        <x:v>Gardestrike</x:v>
      </x:c>
      <x:c r="E237" s="82" t="n">
        <x:v>1</x:v>
      </x:c>
      <x:c r="F237" s="82" t="str">
        <x:f>IF(G237&gt;=80,"S+",IF(G237&gt;=72,"S",IF(G237&gt;=65,"A",IF(G237&gt;=58,"B",IF(G237&gt;=50,"C",IF(G237&gt;=42,"D","E"))))))</x:f>
        <x:v>A</x:v>
      </x:c>
      <x:c r="G237" s="142" t="n">
        <x:f>ROUND(100*(Metodologia!$B$17*(T237/Metodologia!$B$22)+Metodologia!$B$18*(U237/Metodologia!$B$23)+Metodologia!$B$19*(V237/Metodologia!$B$24)+Metodologia!$B$20*(O237/Metodologia!$B$25)+Metodologia!$B$21*(I237/Metodologia!$B$26)),2)</x:f>
        <x:v>65.75</x:v>
      </x:c>
      <x:c r="H237" s="82" t="n">
        <x:f>IF(R237&lt;&gt;"Rankeado","",COUNTIFS($R$5:$R$255,"Rankeado",$G$5:$G$255,"&gt;"&amp;G237)+COUNTIFS($R$5:R237,"Rankeado",$G$5:G237,G237))</x:f>
        <x:v>38</x:v>
      </x:c>
      <x:c r="I237" s="82" t="n">
        <x:f>SUM(J237:O237)</x:f>
        <x:v>515</x:v>
      </x:c>
      <x:c r="J237" s="82" t="n">
        <x:v>85</x:v>
      </x:c>
      <x:c r="K237" s="82" t="n">
        <x:v>80</x:v>
      </x:c>
      <x:c r="L237" s="82" t="n">
        <x:v>90</x:v>
      </x:c>
      <x:c r="M237" s="82" t="n">
        <x:v>105</x:v>
      </x:c>
      <x:c r="N237" s="82" t="n">
        <x:v>95</x:v>
      </x:c>
      <x:c r="O237" s="82" t="n">
        <x:v>60</x:v>
      </x:c>
      <x:c r="P237" s="82" t="str">
        <x:v>Não</x:v>
      </x:c>
      <x:c r="Q237" s="82" t="str">
        <x:v>Não</x:v>
      </x:c>
      <x:c r="R237" s="82" t="str">
        <x:v>Rankeado</x:v>
      </x:c>
      <x:c r="S237" s="82" t="str">
        <x:v>https://poke.idleworld.online/pokepedia/pokemon/porygon2</x:v>
      </x:c>
      <x:c r="T237" s="143" t="n">
        <x:f>MAX(K237,M237)*Metodologia!$B$16</x:f>
        <x:v>136.5</x:v>
      </x:c>
      <x:c r="U237" s="143" t="n">
        <x:f>MIN(K237,M237)*Metodologia!$B$16</x:f>
        <x:v>104</x:v>
      </x:c>
      <x:c r="V237" s="144" t="n">
        <x:f>SQRT(J237*AVERAGE(L237,N237)*Metodologia!$B$16)</x:f>
        <x:v>101.10019782374316</x:v>
      </x:c>
    </x:row>
    <x:row r="238" ht="22" customHeight="1">
      <x:c r="A238" s="82" t="n">
        <x:v>234</x:v>
      </x:c>
      <x:c r="B238" s="82" t="str">
        <x:v>Stantler</x:v>
      </x:c>
      <x:c r="C238" s="82" t="str">
        <x:v>Normal</x:v>
      </x:c>
      <x:c r="D238" s="82" t="str">
        <x:v>Gardestrike</x:v>
      </x:c>
      <x:c r="E238" s="82" t="n">
        <x:v>1</x:v>
      </x:c>
      <x:c r="F238" s="82" t="str">
        <x:f>IF(G238&gt;=80,"S+",IF(G238&gt;=72,"S",IF(G238&gt;=65,"A",IF(G238&gt;=58,"B",IF(G238&gt;=50,"C",IF(G238&gt;=42,"D","E"))))))</x:f>
        <x:v>B</x:v>
      </x:c>
      <x:c r="G238" s="142" t="n">
        <x:f>ROUND(100*(Metodologia!$B$17*(T238/Metodologia!$B$22)+Metodologia!$B$18*(U238/Metodologia!$B$23)+Metodologia!$B$19*(V238/Metodologia!$B$24)+Metodologia!$B$20*(O238/Metodologia!$B$25)+Metodologia!$B$21*(I238/Metodologia!$B$26)),2)</x:f>
        <x:v>61.34</x:v>
      </x:c>
      <x:c r="H238" s="82" t="n">
        <x:f>IF(R238&lt;&gt;"Rankeado","",COUNTIFS($R$5:$R$255,"Rankeado",$G$5:$G$255,"&gt;"&amp;G238)+COUNTIFS($R$5:R238,"Rankeado",$G$5:G238,G238))</x:f>
        <x:v>58</x:v>
      </x:c>
      <x:c r="I238" s="82" t="n">
        <x:f>SUM(J238:O238)</x:f>
        <x:v>465</x:v>
      </x:c>
      <x:c r="J238" s="82" t="n">
        <x:v>73</x:v>
      </x:c>
      <x:c r="K238" s="82" t="n">
        <x:v>95</x:v>
      </x:c>
      <x:c r="L238" s="82" t="n">
        <x:v>62</x:v>
      </x:c>
      <x:c r="M238" s="82" t="n">
        <x:v>85</x:v>
      </x:c>
      <x:c r="N238" s="82" t="n">
        <x:v>65</x:v>
      </x:c>
      <x:c r="O238" s="82" t="n">
        <x:v>85</x:v>
      </x:c>
      <x:c r="P238" s="82" t="str">
        <x:v>Não</x:v>
      </x:c>
      <x:c r="Q238" s="82" t="str">
        <x:v>Não</x:v>
      </x:c>
      <x:c r="R238" s="82" t="str">
        <x:v>Rankeado</x:v>
      </x:c>
      <x:c r="S238" s="82" t="str">
        <x:v>https://poke.idleworld.online/pokepedia/pokemon/stantler</x:v>
      </x:c>
      <x:c r="T238" s="143" t="n">
        <x:f>MAX(K238,M238)*Metodologia!$B$16</x:f>
        <x:v>123.5</x:v>
      </x:c>
      <x:c r="U238" s="143" t="n">
        <x:f>MIN(K238,M238)*Metodologia!$B$16</x:f>
        <x:v>110.5</x:v>
      </x:c>
      <x:c r="V238" s="144" t="n">
        <x:f>SQRT(J238*AVERAGE(L238,N238)*Metodologia!$B$16)</x:f>
        <x:v>77.62828092905318</x:v>
      </x:c>
    </x:row>
    <x:row r="239" ht="22" customHeight="1">
      <x:c r="A239" s="82" t="n">
        <x:v>235</x:v>
      </x:c>
      <x:c r="B239" s="82" t="str">
        <x:v>Smeargle</x:v>
      </x:c>
      <x:c r="C239" s="82" t="str">
        <x:v>Normal</x:v>
      </x:c>
      <x:c r="D239" s="82" t="str">
        <x:v>Gardestrike</x:v>
      </x:c>
      <x:c r="E239" s="82" t="n">
        <x:v>1</x:v>
      </x:c>
      <x:c r="F239" s="82" t="str">
        <x:f>IF(G239&gt;=80,"S+",IF(G239&gt;=72,"S",IF(G239&gt;=65,"A",IF(G239&gt;=58,"B",IF(G239&gt;=50,"C",IF(G239&gt;=42,"D","E"))))))</x:f>
        <x:v>E</x:v>
      </x:c>
      <x:c r="G239" s="142" t="n">
        <x:f>ROUND(100*(Metodologia!$B$17*(T239/Metodologia!$B$22)+Metodologia!$B$18*(U239/Metodologia!$B$23)+Metodologia!$B$19*(V239/Metodologia!$B$24)+Metodologia!$B$20*(O239/Metodologia!$B$25)+Metodologia!$B$21*(I239/Metodologia!$B$26)),2)</x:f>
        <x:v>21.62</x:v>
      </x:c>
      <x:c r="H239" s="82" t="n">
        <x:f>IF(R239&lt;&gt;"Rankeado","",COUNTIFS($R$5:$R$255,"Rankeado",$G$5:$G$255,"&gt;"&amp;G239)+COUNTIFS($R$5:R239,"Rankeado",$G$5:G239,G239))</x:f>
        <x:v>234</x:v>
      </x:c>
      <x:c r="I239" s="82" t="n">
        <x:f>SUM(J239:O239)</x:f>
        <x:v>250</x:v>
      </x:c>
      <x:c r="J239" s="82" t="n">
        <x:v>55</x:v>
      </x:c>
      <x:c r="K239" s="82" t="n">
        <x:v>20</x:v>
      </x:c>
      <x:c r="L239" s="82" t="n">
        <x:v>35</x:v>
      </x:c>
      <x:c r="M239" s="82" t="n">
        <x:v>20</x:v>
      </x:c>
      <x:c r="N239" s="82" t="n">
        <x:v>45</x:v>
      </x:c>
      <x:c r="O239" s="82" t="n">
        <x:v>75</x:v>
      </x:c>
      <x:c r="P239" s="82" t="str">
        <x:v>Não</x:v>
      </x:c>
      <x:c r="Q239" s="82" t="str">
        <x:v>Não</x:v>
      </x:c>
      <x:c r="R239" s="82" t="str">
        <x:v>Rankeado</x:v>
      </x:c>
      <x:c r="S239" s="82" t="str">
        <x:v>https://poke.idleworld.online/pokepedia/pokemon/smeargle</x:v>
      </x:c>
      <x:c r="T239" s="143" t="n">
        <x:f>MAX(K239,M239)*Metodologia!$B$16</x:f>
        <x:v>26</x:v>
      </x:c>
      <x:c r="U239" s="143" t="n">
        <x:f>MIN(K239,M239)*Metodologia!$B$16</x:f>
        <x:v>26</x:v>
      </x:c>
      <x:c r="V239" s="144" t="n">
        <x:f>SQRT(J239*AVERAGE(L239,N239)*Metodologia!$B$16)</x:f>
        <x:v>53.47896782848375</x:v>
      </x:c>
    </x:row>
    <x:row r="240" ht="22" customHeight="1">
      <x:c r="A240" s="82" t="n">
        <x:v>236</x:v>
      </x:c>
      <x:c r="B240" s="82" t="str">
        <x:v>Tyrogue</x:v>
      </x:c>
      <x:c r="C240" s="82" t="str">
        <x:v>Lutador</x:v>
      </x:c>
      <x:c r="D240" s="82" t="str">
        <x:v>Gardestrike</x:v>
      </x:c>
      <x:c r="E240" s="82" t="n">
        <x:v>1</x:v>
      </x:c>
      <x:c r="F240" s="82" t="str">
        <x:f>IF(G240&gt;=80,"S+",IF(G240&gt;=72,"S",IF(G240&gt;=65,"A",IF(G240&gt;=58,"B",IF(G240&gt;=50,"C",IF(G240&gt;=42,"D","E"))))))</x:f>
        <x:v>E</x:v>
      </x:c>
      <x:c r="G240" s="142" t="n">
        <x:f>ROUND(100*(Metodologia!$B$17*(T240/Metodologia!$B$22)+Metodologia!$B$18*(U240/Metodologia!$B$23)+Metodologia!$B$19*(V240/Metodologia!$B$24)+Metodologia!$B$20*(O240/Metodologia!$B$25)+Metodologia!$B$21*(I240/Metodologia!$B$26)),2)</x:f>
        <x:v>24.56</x:v>
      </x:c>
      <x:c r="H240" s="82" t="n">
        <x:f>IF(R240&lt;&gt;"Rankeado","",COUNTIFS($R$5:$R$255,"Rankeado",$G$5:$G$255,"&gt;"&amp;G240)+COUNTIFS($R$5:R240,"Rankeado",$G$5:G240,G240))</x:f>
        <x:v>231</x:v>
      </x:c>
      <x:c r="I240" s="82" t="n">
        <x:f>SUM(J240:O240)</x:f>
        <x:v>210</x:v>
      </x:c>
      <x:c r="J240" s="82" t="n">
        <x:v>35</x:v>
      </x:c>
      <x:c r="K240" s="82" t="n">
        <x:v>35</x:v>
      </x:c>
      <x:c r="L240" s="82" t="n">
        <x:v>35</x:v>
      </x:c>
      <x:c r="M240" s="82" t="n">
        <x:v>35</x:v>
      </x:c>
      <x:c r="N240" s="82" t="n">
        <x:v>35</x:v>
      </x:c>
      <x:c r="O240" s="82" t="n">
        <x:v>35</x:v>
      </x:c>
      <x:c r="P240" s="82" t="str">
        <x:v>Sim</x:v>
      </x:c>
      <x:c r="Q240" s="82" t="str">
        <x:v>Não</x:v>
      </x:c>
      <x:c r="R240" s="82" t="str">
        <x:v>Rankeado</x:v>
      </x:c>
      <x:c r="S240" s="82" t="str">
        <x:v>https://poke.idleworld.online/pokepedia/pokemon/tyrogue</x:v>
      </x:c>
      <x:c r="T240" s="143" t="n">
        <x:f>MAX(K240,M240)*Metodologia!$B$16</x:f>
        <x:v>45.5</x:v>
      </x:c>
      <x:c r="U240" s="143" t="n">
        <x:f>MIN(K240,M240)*Metodologia!$B$16</x:f>
        <x:v>45.5</x:v>
      </x:c>
      <x:c r="V240" s="144" t="n">
        <x:f>SQRT(J240*AVERAGE(L240,N240)*Metodologia!$B$16)</x:f>
        <x:v>39.90613987846983</x:v>
      </x:c>
    </x:row>
    <x:row r="241" ht="22" customHeight="1">
      <x:c r="A241" s="82" t="n">
        <x:v>237</x:v>
      </x:c>
      <x:c r="B241" s="82" t="str">
        <x:v>Hitmontop</x:v>
      </x:c>
      <x:c r="C241" s="82" t="str">
        <x:v>Lutador</x:v>
      </x:c>
      <x:c r="D241" s="82" t="str">
        <x:v>Gardestrike</x:v>
      </x:c>
      <x:c r="E241" s="82" t="n">
        <x:v>1</x:v>
      </x:c>
      <x:c r="F241" s="82" t="str">
        <x:f>IF(G241&gt;=80,"S+",IF(G241&gt;=72,"S",IF(G241&gt;=65,"A",IF(G241&gt;=58,"B",IF(G241&gt;=50,"C",IF(G241&gt;=42,"D","E"))))))</x:f>
        <x:v>C</x:v>
      </x:c>
      <x:c r="G241" s="142" t="n">
        <x:f>ROUND(100*(Metodologia!$B$17*(T241/Metodologia!$B$22)+Metodologia!$B$18*(U241/Metodologia!$B$23)+Metodologia!$B$19*(V241/Metodologia!$B$24)+Metodologia!$B$20*(O241/Metodologia!$B$25)+Metodologia!$B$21*(I241/Metodologia!$B$26)),2)</x:f>
        <x:v>56.1</x:v>
      </x:c>
      <x:c r="H241" s="82" t="n">
        <x:f>IF(R241&lt;&gt;"Rankeado","",COUNTIFS($R$5:$R$255,"Rankeado",$G$5:$G$255,"&gt;"&amp;G241)+COUNTIFS($R$5:R241,"Rankeado",$G$5:G241,G241))</x:f>
        <x:v>91</x:v>
      </x:c>
      <x:c r="I241" s="82" t="n">
        <x:f>SUM(J241:O241)</x:f>
        <x:v>455</x:v>
      </x:c>
      <x:c r="J241" s="82" t="n">
        <x:v>50</x:v>
      </x:c>
      <x:c r="K241" s="82" t="n">
        <x:v>95</x:v>
      </x:c>
      <x:c r="L241" s="82" t="n">
        <x:v>95</x:v>
      </x:c>
      <x:c r="M241" s="82" t="n">
        <x:v>35</x:v>
      </x:c>
      <x:c r="N241" s="82" t="n">
        <x:v>110</x:v>
      </x:c>
      <x:c r="O241" s="82" t="n">
        <x:v>70</x:v>
      </x:c>
      <x:c r="P241" s="82" t="str">
        <x:v>Sim</x:v>
      </x:c>
      <x:c r="Q241" s="82" t="str">
        <x:v>Não</x:v>
      </x:c>
      <x:c r="R241" s="82" t="str">
        <x:v>Rankeado</x:v>
      </x:c>
      <x:c r="S241" s="82" t="str">
        <x:v>https://poke.idleworld.online/pokepedia/pokemon/hitmontop</x:v>
      </x:c>
      <x:c r="T241" s="143" t="n">
        <x:f>MAX(K241,M241)*Metodologia!$B$16</x:f>
        <x:v>123.5</x:v>
      </x:c>
      <x:c r="U241" s="143" t="n">
        <x:f>MIN(K241,M241)*Metodologia!$B$16</x:f>
        <x:v>45.5</x:v>
      </x:c>
      <x:c r="V241" s="144" t="n">
        <x:f>SQRT(J241*AVERAGE(L241,N241)*Metodologia!$B$16)</x:f>
        <x:v>81.62413858657254</x:v>
      </x:c>
    </x:row>
    <x:row r="242" ht="22" customHeight="1">
      <x:c r="A242" s="82" t="n">
        <x:v>238</x:v>
      </x:c>
      <x:c r="B242" s="82" t="str">
        <x:v>Smoochum</x:v>
      </x:c>
      <x:c r="C242" s="82" t="str">
        <x:v>Gelo / Psíquico</x:v>
      </x:c>
      <x:c r="D242" s="82" t="str">
        <x:v>Psycraft / Seavell</x:v>
      </x:c>
      <x:c r="E242" s="82" t="n">
        <x:v>2</x:v>
      </x:c>
      <x:c r="F242" s="82" t="str">
        <x:f>IF(G242&gt;=80,"S+",IF(G242&gt;=72,"S",IF(G242&gt;=65,"A",IF(G242&gt;=58,"B",IF(G242&gt;=50,"C",IF(G242&gt;=42,"D","E"))))))</x:f>
        <x:v>D</x:v>
      </x:c>
      <x:c r="G242" s="142" t="n">
        <x:f>ROUND(100*(Metodologia!$B$17*(T242/Metodologia!$B$22)+Metodologia!$B$18*(U242/Metodologia!$B$23)+Metodologia!$B$19*(V242/Metodologia!$B$24)+Metodologia!$B$20*(O242/Metodologia!$B$25)+Metodologia!$B$21*(I242/Metodologia!$B$26)),2)</x:f>
        <x:v>47.1</x:v>
      </x:c>
      <x:c r="H242" s="82" t="n">
        <x:f>IF(R242&lt;&gt;"Rankeado","",COUNTIFS($R$5:$R$255,"Rankeado",$G$5:$G$255,"&gt;"&amp;G242)+COUNTIFS($R$5:R242,"Rankeado",$G$5:G242,G242))</x:f>
        <x:v>144</x:v>
      </x:c>
      <x:c r="I242" s="82" t="n">
        <x:f>SUM(J242:O242)</x:f>
        <x:v>305</x:v>
      </x:c>
      <x:c r="J242" s="82" t="n">
        <x:v>45</x:v>
      </x:c>
      <x:c r="K242" s="82" t="n">
        <x:v>30</x:v>
      </x:c>
      <x:c r="L242" s="82" t="n">
        <x:v>15</x:v>
      </x:c>
      <x:c r="M242" s="82" t="n">
        <x:v>85</x:v>
      </x:c>
      <x:c r="N242" s="82" t="n">
        <x:v>65</x:v>
      </x:c>
      <x:c r="O242" s="82" t="n">
        <x:v>65</x:v>
      </x:c>
      <x:c r="P242" s="82" t="str">
        <x:v>Sim</x:v>
      </x:c>
      <x:c r="Q242" s="82" t="str">
        <x:v>Não</x:v>
      </x:c>
      <x:c r="R242" s="82" t="str">
        <x:v>Rankeado</x:v>
      </x:c>
      <x:c r="S242" s="82" t="str">
        <x:v>https://poke.idleworld.online/pokepedia/pokemon/smoochum</x:v>
      </x:c>
      <x:c r="T242" s="143" t="n">
        <x:f>MAX(K242,M242)*Metodologia!$B$16</x:f>
        <x:v>110.5</x:v>
      </x:c>
      <x:c r="U242" s="143" t="n">
        <x:f>MIN(K242,M242)*Metodologia!$B$16</x:f>
        <x:v>39</x:v>
      </x:c>
      <x:c r="V242" s="144" t="n">
        <x:f>SQRT(J242*AVERAGE(L242,N242)*Metodologia!$B$16)</x:f>
        <x:v>48.373546489791295</x:v>
      </x:c>
    </x:row>
    <x:row r="243" ht="22" customHeight="1">
      <x:c r="A243" s="82" t="n">
        <x:v>239</x:v>
      </x:c>
      <x:c r="B243" s="82" t="str">
        <x:v>Elekid</x:v>
      </x:c>
      <x:c r="C243" s="82" t="str">
        <x:v>Elétrico</x:v>
      </x:c>
      <x:c r="D243" s="82" t="str">
        <x:v>Raibolt</x:v>
      </x:c>
      <x:c r="E243" s="82" t="n">
        <x:v>1</x:v>
      </x:c>
      <x:c r="F243" s="82" t="str">
        <x:f>IF(G243&gt;=80,"S+",IF(G243&gt;=72,"S",IF(G243&gt;=65,"A",IF(G243&gt;=58,"B",IF(G243&gt;=50,"C",IF(G243&gt;=42,"D","E"))))))</x:f>
        <x:v>D</x:v>
      </x:c>
      <x:c r="G243" s="142" t="n">
        <x:f>ROUND(100*(Metodologia!$B$17*(T243/Metodologia!$B$22)+Metodologia!$B$18*(U243/Metodologia!$B$23)+Metodologia!$B$19*(V243/Metodologia!$B$24)+Metodologia!$B$20*(O243/Metodologia!$B$25)+Metodologia!$B$21*(I243/Metodologia!$B$26)),2)</x:f>
        <x:v>45.05</x:v>
      </x:c>
      <x:c r="H243" s="82" t="n">
        <x:f>IF(R243&lt;&gt;"Rankeado","",COUNTIFS($R$5:$R$255,"Rankeado",$G$5:$G$255,"&gt;"&amp;G243)+COUNTIFS($R$5:R243,"Rankeado",$G$5:G243,G243))</x:f>
        <x:v>155</x:v>
      </x:c>
      <x:c r="I243" s="82" t="n">
        <x:f>SUM(J243:O243)</x:f>
        <x:v>360</x:v>
      </x:c>
      <x:c r="J243" s="82" t="n">
        <x:v>45</x:v>
      </x:c>
      <x:c r="K243" s="82" t="n">
        <x:v>63</x:v>
      </x:c>
      <x:c r="L243" s="82" t="n">
        <x:v>37</x:v>
      </x:c>
      <x:c r="M243" s="82" t="n">
        <x:v>65</x:v>
      </x:c>
      <x:c r="N243" s="82" t="n">
        <x:v>55</x:v>
      </x:c>
      <x:c r="O243" s="82" t="n">
        <x:v>95</x:v>
      </x:c>
      <x:c r="P243" s="82" t="str">
        <x:v>Sim</x:v>
      </x:c>
      <x:c r="Q243" s="82" t="str">
        <x:v>Não</x:v>
      </x:c>
      <x:c r="R243" s="82" t="str">
        <x:v>Rankeado</x:v>
      </x:c>
      <x:c r="S243" s="82" t="str">
        <x:v>https://poke.idleworld.online/pokepedia/pokemon/elekid</x:v>
      </x:c>
      <x:c r="T243" s="143" t="n">
        <x:f>MAX(K243,M243)*Metodologia!$B$16</x:f>
        <x:v>84.5</x:v>
      </x:c>
      <x:c r="U243" s="143" t="n">
        <x:f>MIN(K243,M243)*Metodologia!$B$16</x:f>
        <x:v>81.9</x:v>
      </x:c>
      <x:c r="V243" s="144" t="n">
        <x:f>SQRT(J243*AVERAGE(L243,N243)*Metodologia!$B$16)</x:f>
        <x:v>51.87484939737175</x:v>
      </x:c>
    </x:row>
    <x:row r="244" ht="22" customHeight="1">
      <x:c r="A244" s="82" t="n">
        <x:v>240</x:v>
      </x:c>
      <x:c r="B244" s="82" t="str">
        <x:v>Magby</x:v>
      </x:c>
      <x:c r="C244" s="82" t="str">
        <x:v>Fogo</x:v>
      </x:c>
      <x:c r="D244" s="82" t="str">
        <x:v>Volcanic</x:v>
      </x:c>
      <x:c r="E244" s="82" t="n">
        <x:v>1</x:v>
      </x:c>
      <x:c r="F244" s="82" t="str">
        <x:f>IF(G244&gt;=80,"S+",IF(G244&gt;=72,"S",IF(G244&gt;=65,"A",IF(G244&gt;=58,"B",IF(G244&gt;=50,"C",IF(G244&gt;=42,"D","E"))))))</x:f>
        <x:v>D</x:v>
      </x:c>
      <x:c r="G244" s="142" t="n">
        <x:f>ROUND(100*(Metodologia!$B$17*(T244/Metodologia!$B$22)+Metodologia!$B$18*(U244/Metodologia!$B$23)+Metodologia!$B$19*(V244/Metodologia!$B$24)+Metodologia!$B$20*(O244/Metodologia!$B$25)+Metodologia!$B$21*(I244/Metodologia!$B$26)),2)</x:f>
        <x:v>48.82</x:v>
      </x:c>
      <x:c r="H244" s="82" t="n">
        <x:f>IF(R244&lt;&gt;"Rankeado","",COUNTIFS($R$5:$R$255,"Rankeado",$G$5:$G$255,"&gt;"&amp;G244)+COUNTIFS($R$5:R244,"Rankeado",$G$5:G244,G244))</x:f>
        <x:v>137</x:v>
      </x:c>
      <x:c r="I244" s="82" t="n">
        <x:f>SUM(J244:O244)</x:f>
        <x:v>365</x:v>
      </x:c>
      <x:c r="J244" s="82" t="n">
        <x:v>45</x:v>
      </x:c>
      <x:c r="K244" s="82" t="n">
        <x:v>75</x:v>
      </x:c>
      <x:c r="L244" s="82" t="n">
        <x:v>37</x:v>
      </x:c>
      <x:c r="M244" s="82" t="n">
        <x:v>70</x:v>
      </x:c>
      <x:c r="N244" s="82" t="n">
        <x:v>55</x:v>
      </x:c>
      <x:c r="O244" s="82" t="n">
        <x:v>83</x:v>
      </x:c>
      <x:c r="P244" s="82" t="str">
        <x:v>Sim</x:v>
      </x:c>
      <x:c r="Q244" s="82" t="str">
        <x:v>Não</x:v>
      </x:c>
      <x:c r="R244" s="82" t="str">
        <x:v>Rankeado</x:v>
      </x:c>
      <x:c r="S244" s="82" t="str">
        <x:v>https://poke.idleworld.online/pokepedia/pokemon/magby</x:v>
      </x:c>
      <x:c r="T244" s="143" t="n">
        <x:f>MAX(K244,M244)*Metodologia!$B$16</x:f>
        <x:v>97.5</x:v>
      </x:c>
      <x:c r="U244" s="143" t="n">
        <x:f>MIN(K244,M244)*Metodologia!$B$16</x:f>
        <x:v>91</x:v>
      </x:c>
      <x:c r="V244" s="144" t="n">
        <x:f>SQRT(J244*AVERAGE(L244,N244)*Metodologia!$B$16)</x:f>
        <x:v>51.87484939737175</x:v>
      </x:c>
    </x:row>
    <x:row r="245" ht="22" customHeight="1">
      <x:c r="A245" s="82" t="n">
        <x:v>241</x:v>
      </x:c>
      <x:c r="B245" s="82" t="str">
        <x:v>Miltank</x:v>
      </x:c>
      <x:c r="C245" s="82" t="str">
        <x:v>Normal</x:v>
      </x:c>
      <x:c r="D245" s="82" t="str">
        <x:v>Gardestrike</x:v>
      </x:c>
      <x:c r="E245" s="82" t="n">
        <x:v>1</x:v>
      </x:c>
      <x:c r="F245" s="82" t="str">
        <x:f>IF(G245&gt;=80,"S+",IF(G245&gt;=72,"S",IF(G245&gt;=65,"A",IF(G245&gt;=58,"B",IF(G245&gt;=50,"C",IF(G245&gt;=42,"D","E"))))))</x:f>
        <x:v>C</x:v>
      </x:c>
      <x:c r="G245" s="142" t="n">
        <x:f>ROUND(100*(Metodologia!$B$17*(T245/Metodologia!$B$22)+Metodologia!$B$18*(U245/Metodologia!$B$23)+Metodologia!$B$19*(V245/Metodologia!$B$24)+Metodologia!$B$20*(O245/Metodologia!$B$25)+Metodologia!$B$21*(I245/Metodologia!$B$26)),2)</x:f>
        <x:v>55.13</x:v>
      </x:c>
      <x:c r="H245" s="82" t="n">
        <x:f>IF(R245&lt;&gt;"Rankeado","",COUNTIFS($R$5:$R$255,"Rankeado",$G$5:$G$255,"&gt;"&amp;G245)+COUNTIFS($R$5:R245,"Rankeado",$G$5:G245,G245))</x:f>
        <x:v>96</x:v>
      </x:c>
      <x:c r="I245" s="82" t="n">
        <x:f>SUM(J245:O245)</x:f>
        <x:v>490</x:v>
      </x:c>
      <x:c r="J245" s="82" t="n">
        <x:v>95</x:v>
      </x:c>
      <x:c r="K245" s="82" t="n">
        <x:v>80</x:v>
      </x:c>
      <x:c r="L245" s="82" t="n">
        <x:v>105</x:v>
      </x:c>
      <x:c r="M245" s="82" t="n">
        <x:v>40</x:v>
      </x:c>
      <x:c r="N245" s="82" t="n">
        <x:v>70</x:v>
      </x:c>
      <x:c r="O245" s="82" t="n">
        <x:v>100</x:v>
      </x:c>
      <x:c r="P245" s="82" t="str">
        <x:v>Sim</x:v>
      </x:c>
      <x:c r="Q245" s="82" t="str">
        <x:v>Não</x:v>
      </x:c>
      <x:c r="R245" s="82" t="str">
        <x:v>Rankeado</x:v>
      </x:c>
      <x:c r="S245" s="82" t="str">
        <x:v>https://poke.idleworld.online/pokepedia/pokemon/miltank</x:v>
      </x:c>
      <x:c r="T245" s="143" t="n">
        <x:f>MAX(K245,M245)*Metodologia!$B$16</x:f>
        <x:v>104</x:v>
      </x:c>
      <x:c r="U245" s="143" t="n">
        <x:f>MIN(K245,M245)*Metodologia!$B$16</x:f>
        <x:v>52</x:v>
      </x:c>
      <x:c r="V245" s="144" t="n">
        <x:f>SQRT(J245*AVERAGE(L245,N245)*Metodologia!$B$16)</x:f>
        <x:v>103.95311443145896</x:v>
      </x:c>
    </x:row>
    <x:row r="246" ht="22" customHeight="1">
      <x:c r="A246" s="82" t="n">
        <x:v>242</x:v>
      </x:c>
      <x:c r="B246" s="82" t="str">
        <x:v>Blissey</x:v>
      </x:c>
      <x:c r="C246" s="82" t="str">
        <x:v>Normal</x:v>
      </x:c>
      <x:c r="D246" s="82" t="str">
        <x:v>Gardestrike</x:v>
      </x:c>
      <x:c r="E246" s="82" t="n">
        <x:v>1</x:v>
      </x:c>
      <x:c r="F246" s="82" t="str">
        <x:f>IF(G246&gt;=80,"S+",IF(G246&gt;=72,"S",IF(G246&gt;=65,"A",IF(G246&gt;=58,"B",IF(G246&gt;=50,"C",IF(G246&gt;=42,"D","E"))))))</x:f>
        <x:v>C</x:v>
      </x:c>
      <x:c r="G246" s="142" t="n">
        <x:f>ROUND(100*(Metodologia!$B$17*(T246/Metodologia!$B$22)+Metodologia!$B$18*(U246/Metodologia!$B$23)+Metodologia!$B$19*(V246/Metodologia!$B$24)+Metodologia!$B$20*(O246/Metodologia!$B$25)+Metodologia!$B$21*(I246/Metodologia!$B$26)),2)</x:f>
        <x:v>52.77</x:v>
      </x:c>
      <x:c r="H246" s="82" t="n">
        <x:f>IF(R246&lt;&gt;"Rankeado","",COUNTIFS($R$5:$R$255,"Rankeado",$G$5:$G$255,"&gt;"&amp;G246)+COUNTIFS($R$5:R246,"Rankeado",$G$5:G246,G246))</x:f>
        <x:v>117</x:v>
      </x:c>
      <x:c r="I246" s="82" t="n">
        <x:f>SUM(J246:O246)</x:f>
        <x:v>540</x:v>
      </x:c>
      <x:c r="J246" s="82" t="n">
        <x:v>255</x:v>
      </x:c>
      <x:c r="K246" s="82" t="n">
        <x:v>10</x:v>
      </x:c>
      <x:c r="L246" s="82" t="n">
        <x:v>10</x:v>
      </x:c>
      <x:c r="M246" s="82" t="n">
        <x:v>75</x:v>
      </x:c>
      <x:c r="N246" s="82" t="n">
        <x:v>135</x:v>
      </x:c>
      <x:c r="O246" s="82" t="n">
        <x:v>55</x:v>
      </x:c>
      <x:c r="P246" s="82" t="str">
        <x:v>Não</x:v>
      </x:c>
      <x:c r="Q246" s="82" t="str">
        <x:v>Não</x:v>
      </x:c>
      <x:c r="R246" s="82" t="str">
        <x:v>Rankeado</x:v>
      </x:c>
      <x:c r="S246" s="82" t="str">
        <x:v>https://poke.idleworld.online/pokepedia/pokemon/blissey</x:v>
      </x:c>
      <x:c r="T246" s="143" t="n">
        <x:f>MAX(K246,M246)*Metodologia!$B$16</x:f>
        <x:v>97.5</x:v>
      </x:c>
      <x:c r="U246" s="143" t="n">
        <x:f>MIN(K246,M246)*Metodologia!$B$16</x:f>
        <x:v>13</x:v>
      </x:c>
      <x:c r="V246" s="144" t="n">
        <x:f>SQRT(J246*AVERAGE(L246,N246)*Metodologia!$B$16)</x:f>
        <x:v>155.02822323693192</x:v>
      </x:c>
    </x:row>
    <x:row r="247" ht="22" customHeight="1">
      <x:c r="A247" s="82" t="n">
        <x:v>243</x:v>
      </x:c>
      <x:c r="B247" s="82" t="str">
        <x:v>Raikou</x:v>
      </x:c>
      <x:c r="C247" s="82" t="str">
        <x:v>Elétrico</x:v>
      </x:c>
      <x:c r="D247" s="82" t="str">
        <x:v>Raibolt</x:v>
      </x:c>
      <x:c r="E247" s="82" t="n">
        <x:v>1</x:v>
      </x:c>
      <x:c r="F247" s="82" t="str">
        <x:f>IF(G247&gt;=80,"S+",IF(G247&gt;=72,"S",IF(G247&gt;=65,"A",IF(G247&gt;=58,"B",IF(G247&gt;=50,"C",IF(G247&gt;=42,"D","E"))))))</x:f>
        <x:v>S</x:v>
      </x:c>
      <x:c r="G247" s="142" t="n">
        <x:f>ROUND(100*(Metodologia!$B$17*(T247/Metodologia!$B$22)+Metodologia!$B$18*(U247/Metodologia!$B$23)+Metodologia!$B$19*(V247/Metodologia!$B$24)+Metodologia!$B$20*(O247/Metodologia!$B$25)+Metodologia!$B$21*(I247/Metodologia!$B$26)),2)</x:f>
        <x:v>74.25</x:v>
      </x:c>
      <x:c r="H247" s="82" t="str">
        <x:f>IF(R247&lt;&gt;"Rankeado","",COUNTIFS($R$5:$R$255,"Rankeado",$G$5:$G$255,"&gt;"&amp;G247)+COUNTIFS($R$5:R247,"Rankeado",$G$5:G247,G247))</x:f>
      </x:c>
      <x:c r="I247" s="82" t="n">
        <x:f>SUM(J247:O247)</x:f>
        <x:v>580</x:v>
      </x:c>
      <x:c r="J247" s="82" t="n">
        <x:v>90</x:v>
      </x:c>
      <x:c r="K247" s="82" t="n">
        <x:v>85</x:v>
      </x:c>
      <x:c r="L247" s="82" t="n">
        <x:v>75</x:v>
      </x:c>
      <x:c r="M247" s="82" t="n">
        <x:v>115</x:v>
      </x:c>
      <x:c r="N247" s="82" t="n">
        <x:v>100</x:v>
      </x:c>
      <x:c r="O247" s="82" t="n">
        <x:v>115</x:v>
      </x:c>
      <x:c r="P247" s="82" t="str">
        <x:v>Não</x:v>
      </x:c>
      <x:c r="Q247" s="82" t="str">
        <x:v>Sim</x:v>
      </x:c>
      <x:c r="R247" s="82" t="str">
        <x:v>Excluído do utilizável</x:v>
      </x:c>
      <x:c r="S247" s="82" t="str">
        <x:v>https://poke.idleworld.online/pokepedia/pokemon/raikou</x:v>
      </x:c>
      <x:c r="T247" s="143" t="n">
        <x:f>MAX(K247,M247)*Metodologia!$B$16</x:f>
        <x:v>149.5</x:v>
      </x:c>
      <x:c r="U247" s="143" t="n">
        <x:f>MIN(K247,M247)*Metodologia!$B$16</x:f>
        <x:v>110.5</x:v>
      </x:c>
      <x:c r="V247" s="144" t="n">
        <x:f>SQRT(J247*AVERAGE(L247,N247)*Metodologia!$B$16)</x:f>
        <x:v>101.18053172424031</x:v>
      </x:c>
    </x:row>
    <x:row r="248" ht="22" customHeight="1">
      <x:c r="A248" s="82" t="n">
        <x:v>244</x:v>
      </x:c>
      <x:c r="B248" s="82" t="str">
        <x:v>Entei</x:v>
      </x:c>
      <x:c r="C248" s="82" t="str">
        <x:v>Fogo</x:v>
      </x:c>
      <x:c r="D248" s="82" t="str">
        <x:v>Volcanic</x:v>
      </x:c>
      <x:c r="E248" s="82" t="n">
        <x:v>1</x:v>
      </x:c>
      <x:c r="F248" s="82" t="str">
        <x:f>IF(G248&gt;=80,"S+",IF(G248&gt;=72,"S",IF(G248&gt;=65,"A",IF(G248&gt;=58,"B",IF(G248&gt;=50,"C",IF(G248&gt;=42,"D","E"))))))</x:f>
        <x:v>S</x:v>
      </x:c>
      <x:c r="G248" s="142" t="n">
        <x:f>ROUND(100*(Metodologia!$B$17*(T248/Metodologia!$B$22)+Metodologia!$B$18*(U248/Metodologia!$B$23)+Metodologia!$B$19*(V248/Metodologia!$B$24)+Metodologia!$B$20*(O248/Metodologia!$B$25)+Metodologia!$B$21*(I248/Metodologia!$B$26)),2)</x:f>
        <x:v>74.5</x:v>
      </x:c>
      <x:c r="H248" s="82" t="str">
        <x:f>IF(R248&lt;&gt;"Rankeado","",COUNTIFS($R$5:$R$255,"Rankeado",$G$5:$G$255,"&gt;"&amp;G248)+COUNTIFS($R$5:R248,"Rankeado",$G$5:G248,G248))</x:f>
      </x:c>
      <x:c r="I248" s="82" t="n">
        <x:f>SUM(J248:O248)</x:f>
        <x:v>580</x:v>
      </x:c>
      <x:c r="J248" s="82" t="n">
        <x:v>115</x:v>
      </x:c>
      <x:c r="K248" s="82" t="n">
        <x:v>115</x:v>
      </x:c>
      <x:c r="L248" s="82" t="n">
        <x:v>85</x:v>
      </x:c>
      <x:c r="M248" s="82" t="n">
        <x:v>90</x:v>
      </x:c>
      <x:c r="N248" s="82" t="n">
        <x:v>75</x:v>
      </x:c>
      <x:c r="O248" s="82" t="n">
        <x:v>100</x:v>
      </x:c>
      <x:c r="P248" s="82" t="str">
        <x:v>Não</x:v>
      </x:c>
      <x:c r="Q248" s="82" t="str">
        <x:v>Sim</x:v>
      </x:c>
      <x:c r="R248" s="82" t="str">
        <x:v>Excluído do utilizável</x:v>
      </x:c>
      <x:c r="S248" s="82" t="str">
        <x:v>https://poke.idleworld.online/pokepedia/pokemon/entei</x:v>
      </x:c>
      <x:c r="T248" s="143" t="n">
        <x:f>MAX(K248,M248)*Metodologia!$B$16</x:f>
        <x:v>149.5</x:v>
      </x:c>
      <x:c r="U248" s="143" t="n">
        <x:f>MIN(K248,M248)*Metodologia!$B$16</x:f>
        <x:v>117</x:v>
      </x:c>
      <x:c r="V248" s="144" t="n">
        <x:f>SQRT(J248*AVERAGE(L248,N248)*Metodologia!$B$16)</x:f>
        <x:v>109.36178491593853</x:v>
      </x:c>
    </x:row>
    <x:row r="249" ht="22" customHeight="1">
      <x:c r="A249" s="82" t="n">
        <x:v>245</x:v>
      </x:c>
      <x:c r="B249" s="82" t="str">
        <x:v>Suicune</x:v>
      </x:c>
      <x:c r="C249" s="82" t="str">
        <x:v>Água</x:v>
      </x:c>
      <x:c r="D249" s="82" t="str">
        <x:v>Seavell</x:v>
      </x:c>
      <x:c r="E249" s="82" t="n">
        <x:v>1</x:v>
      </x:c>
      <x:c r="F249" s="82" t="str">
        <x:f>IF(G249&gt;=80,"S+",IF(G249&gt;=72,"S",IF(G249&gt;=65,"A",IF(G249&gt;=58,"B",IF(G249&gt;=50,"C",IF(G249&gt;=42,"D","E"))))))</x:f>
        <x:v>B</x:v>
      </x:c>
      <x:c r="G249" s="142" t="n">
        <x:f>ROUND(100*(Metodologia!$B$17*(T249/Metodologia!$B$22)+Metodologia!$B$18*(U249/Metodologia!$B$23)+Metodologia!$B$19*(V249/Metodologia!$B$24)+Metodologia!$B$20*(O249/Metodologia!$B$25)+Metodologia!$B$21*(I249/Metodologia!$B$26)),2)</x:f>
        <x:v>63.64</x:v>
      </x:c>
      <x:c r="H249" s="82" t="str">
        <x:f>IF(R249&lt;&gt;"Rankeado","",COUNTIFS($R$5:$R$255,"Rankeado",$G$5:$G$255,"&gt;"&amp;G249)+COUNTIFS($R$5:R249,"Rankeado",$G$5:G249,G249))</x:f>
      </x:c>
      <x:c r="I249" s="82" t="n">
        <x:f>SUM(J249:O249)</x:f>
        <x:v>580</x:v>
      </x:c>
      <x:c r="J249" s="82" t="n">
        <x:v>100</x:v>
      </x:c>
      <x:c r="K249" s="82" t="n">
        <x:v>75</x:v>
      </x:c>
      <x:c r="L249" s="82" t="n">
        <x:v>115</x:v>
      </x:c>
      <x:c r="M249" s="82" t="n">
        <x:v>90</x:v>
      </x:c>
      <x:c r="N249" s="82" t="n">
        <x:v>115</x:v>
      </x:c>
      <x:c r="O249" s="82" t="n">
        <x:v>85</x:v>
      </x:c>
      <x:c r="P249" s="82" t="str">
        <x:v>Não</x:v>
      </x:c>
      <x:c r="Q249" s="82" t="str">
        <x:v>Sim</x:v>
      </x:c>
      <x:c r="R249" s="82" t="str">
        <x:v>Excluído do utilizável</x:v>
      </x:c>
      <x:c r="S249" s="82" t="str">
        <x:v>https://poke.idleworld.online/pokepedia/pokemon/suicune</x:v>
      </x:c>
      <x:c r="T249" s="143" t="n">
        <x:f>MAX(K249,M249)*Metodologia!$B$16</x:f>
        <x:v>117</x:v>
      </x:c>
      <x:c r="U249" s="143" t="n">
        <x:f>MIN(K249,M249)*Metodologia!$B$16</x:f>
        <x:v>97.5</x:v>
      </x:c>
      <x:c r="V249" s="144" t="n">
        <x:f>SQRT(J249*AVERAGE(L249,N249)*Metodologia!$B$16)</x:f>
        <x:v>122.27019260637483</x:v>
      </x:c>
    </x:row>
    <x:row r="250" ht="22" customHeight="1">
      <x:c r="A250" s="82" t="n">
        <x:v>246</x:v>
      </x:c>
      <x:c r="B250" s="82" t="str">
        <x:v>Larvitar</x:v>
      </x:c>
      <x:c r="C250" s="82" t="str">
        <x:v>Pedra / Terra</x:v>
      </x:c>
      <x:c r="D250" s="82" t="str">
        <x:v>Orebound</x:v>
      </x:c>
      <x:c r="E250" s="82" t="n">
        <x:v>1</x:v>
      </x:c>
      <x:c r="F250" s="82" t="str">
        <x:f>IF(G250&gt;=80,"S+",IF(G250&gt;=72,"S",IF(G250&gt;=65,"A",IF(G250&gt;=58,"B",IF(G250&gt;=50,"C",IF(G250&gt;=42,"D","E"))))))</x:f>
        <x:v>E</x:v>
      </x:c>
      <x:c r="G250" s="142" t="n">
        <x:f>ROUND(100*(Metodologia!$B$17*(T250/Metodologia!$B$22)+Metodologia!$B$18*(U250/Metodologia!$B$23)+Metodologia!$B$19*(V250/Metodologia!$B$24)+Metodologia!$B$20*(O250/Metodologia!$B$25)+Metodologia!$B$21*(I250/Metodologia!$B$26)),2)</x:f>
        <x:v>39.48</x:v>
      </x:c>
      <x:c r="H250" s="82" t="n">
        <x:f>IF(R250&lt;&gt;"Rankeado","",COUNTIFS($R$5:$R$255,"Rankeado",$G$5:$G$255,"&gt;"&amp;G250)+COUNTIFS($R$5:R250,"Rankeado",$G$5:G250,G250))</x:f>
        <x:v>183</x:v>
      </x:c>
      <x:c r="I250" s="82" t="n">
        <x:f>SUM(J250:O250)</x:f>
        <x:v>300</x:v>
      </x:c>
      <x:c r="J250" s="82" t="n">
        <x:v>50</x:v>
      </x:c>
      <x:c r="K250" s="82" t="n">
        <x:v>64</x:v>
      </x:c>
      <x:c r="L250" s="82" t="n">
        <x:v>50</x:v>
      </x:c>
      <x:c r="M250" s="82" t="n">
        <x:v>45</x:v>
      </x:c>
      <x:c r="N250" s="82" t="n">
        <x:v>50</x:v>
      </x:c>
      <x:c r="O250" s="82" t="n">
        <x:v>41</x:v>
      </x:c>
      <x:c r="P250" s="82" t="str">
        <x:v>Sim</x:v>
      </x:c>
      <x:c r="Q250" s="82" t="str">
        <x:v>Não</x:v>
      </x:c>
      <x:c r="R250" s="82" t="str">
        <x:v>Rankeado</x:v>
      </x:c>
      <x:c r="S250" s="82" t="str">
        <x:v>https://poke.idleworld.online/pokepedia/pokemon/larvitar</x:v>
      </x:c>
      <x:c r="T250" s="143" t="n">
        <x:f>MAX(K250,M250)*Metodologia!$B$16</x:f>
        <x:v>83.2</x:v>
      </x:c>
      <x:c r="U250" s="143" t="n">
        <x:f>MIN(K250,M250)*Metodologia!$B$16</x:f>
        <x:v>58.5</x:v>
      </x:c>
      <x:c r="V250" s="144" t="n">
        <x:f>SQRT(J250*AVERAGE(L250,N250)*Metodologia!$B$16)</x:f>
        <x:v>57.0087712549569</x:v>
      </x:c>
    </x:row>
    <x:row r="251" ht="22" customHeight="1">
      <x:c r="A251" s="82" t="n">
        <x:v>247</x:v>
      </x:c>
      <x:c r="B251" s="82" t="str">
        <x:v>Pupitar</x:v>
      </x:c>
      <x:c r="C251" s="82" t="str">
        <x:v>Pedra / Terra</x:v>
      </x:c>
      <x:c r="D251" s="82" t="str">
        <x:v>Orebound</x:v>
      </x:c>
      <x:c r="E251" s="82" t="n">
        <x:v>1</x:v>
      </x:c>
      <x:c r="F251" s="82" t="str">
        <x:f>IF(G251&gt;=80,"S+",IF(G251&gt;=72,"S",IF(G251&gt;=65,"A",IF(G251&gt;=58,"B",IF(G251&gt;=50,"C",IF(G251&gt;=42,"D","E"))))))</x:f>
        <x:v>C</x:v>
      </x:c>
      <x:c r="G251" s="142" t="n">
        <x:f>ROUND(100*(Metodologia!$B$17*(T251/Metodologia!$B$22)+Metodologia!$B$18*(U251/Metodologia!$B$23)+Metodologia!$B$19*(V251/Metodologia!$B$24)+Metodologia!$B$20*(O251/Metodologia!$B$25)+Metodologia!$B$21*(I251/Metodologia!$B$26)),2)</x:f>
        <x:v>52.77</x:v>
      </x:c>
      <x:c r="H251" s="82" t="n">
        <x:f>IF(R251&lt;&gt;"Rankeado","",COUNTIFS($R$5:$R$255,"Rankeado",$G$5:$G$255,"&gt;"&amp;G251)+COUNTIFS($R$5:R251,"Rankeado",$G$5:G251,G251))</x:f>
        <x:v>118</x:v>
      </x:c>
      <x:c r="I251" s="82" t="n">
        <x:f>SUM(J251:O251)</x:f>
        <x:v>410</x:v>
      </x:c>
      <x:c r="J251" s="82" t="n">
        <x:v>70</x:v>
      </x:c>
      <x:c r="K251" s="82" t="n">
        <x:v>84</x:v>
      </x:c>
      <x:c r="L251" s="82" t="n">
        <x:v>70</x:v>
      </x:c>
      <x:c r="M251" s="82" t="n">
        <x:v>65</x:v>
      </x:c>
      <x:c r="N251" s="82" t="n">
        <x:v>70</x:v>
      </x:c>
      <x:c r="O251" s="82" t="n">
        <x:v>51</x:v>
      </x:c>
      <x:c r="P251" s="82" t="str">
        <x:v>Sim</x:v>
      </x:c>
      <x:c r="Q251" s="82" t="str">
        <x:v>Não</x:v>
      </x:c>
      <x:c r="R251" s="82" t="str">
        <x:v>Rankeado</x:v>
      </x:c>
      <x:c r="S251" s="82" t="str">
        <x:v>https://poke.idleworld.online/pokepedia/pokemon/pupitar</x:v>
      </x:c>
      <x:c r="T251" s="143" t="n">
        <x:f>MAX(K251,M251)*Metodologia!$B$16</x:f>
        <x:v>109.2</x:v>
      </x:c>
      <x:c r="U251" s="143" t="n">
        <x:f>MIN(K251,M251)*Metodologia!$B$16</x:f>
        <x:v>84.5</x:v>
      </x:c>
      <x:c r="V251" s="144" t="n">
        <x:f>SQRT(J251*AVERAGE(L251,N251)*Metodologia!$B$16)</x:f>
        <x:v>79.81227975693966</x:v>
      </x:c>
    </x:row>
    <x:row r="252" ht="22" customHeight="1">
      <x:c r="A252" s="82" t="n">
        <x:v>248</x:v>
      </x:c>
      <x:c r="B252" s="82" t="str">
        <x:v>Tyranitar</x:v>
      </x:c>
      <x:c r="C252" s="82" t="str">
        <x:v>Pedra / Sombrio</x:v>
      </x:c>
      <x:c r="D252" s="82" t="str">
        <x:v>Orebound / Malefic</x:v>
      </x:c>
      <x:c r="E252" s="82" t="n">
        <x:v>2</x:v>
      </x:c>
      <x:c r="F252" s="82" t="str">
        <x:f>IF(G252&gt;=80,"S+",IF(G252&gt;=72,"S",IF(G252&gt;=65,"A",IF(G252&gt;=58,"B",IF(G252&gt;=50,"C",IF(G252&gt;=42,"D","E"))))))</x:f>
        <x:v>S+</x:v>
      </x:c>
      <x:c r="G252" s="142" t="n">
        <x:f>ROUND(100*(Metodologia!$B$17*(T252/Metodologia!$B$22)+Metodologia!$B$18*(U252/Metodologia!$B$23)+Metodologia!$B$19*(V252/Metodologia!$B$24)+Metodologia!$B$20*(O252/Metodologia!$B$25)+Metodologia!$B$21*(I252/Metodologia!$B$26)),2)</x:f>
        <x:v>80.63</x:v>
      </x:c>
      <x:c r="H252" s="82" t="n">
        <x:f>IF(R252&lt;&gt;"Rankeado","",COUNTIFS($R$5:$R$255,"Rankeado",$G$5:$G$255,"&gt;"&amp;G252)+COUNTIFS($R$5:R252,"Rankeado",$G$5:G252,G252))</x:f>
        <x:v>2</x:v>
      </x:c>
      <x:c r="I252" s="82" t="n">
        <x:f>SUM(J252:O252)</x:f>
        <x:v>600</x:v>
      </x:c>
      <x:c r="J252" s="82" t="n">
        <x:v>100</x:v>
      </x:c>
      <x:c r="K252" s="82" t="n">
        <x:v>134</x:v>
      </x:c>
      <x:c r="L252" s="82" t="n">
        <x:v>110</x:v>
      </x:c>
      <x:c r="M252" s="82" t="n">
        <x:v>95</x:v>
      </x:c>
      <x:c r="N252" s="82" t="n">
        <x:v>100</x:v>
      </x:c>
      <x:c r="O252" s="82" t="n">
        <x:v>61</x:v>
      </x:c>
      <x:c r="P252" s="82" t="str">
        <x:v>Sim</x:v>
      </x:c>
      <x:c r="Q252" s="82" t="str">
        <x:v>Não</x:v>
      </x:c>
      <x:c r="R252" s="82" t="str">
        <x:v>Rankeado</x:v>
      </x:c>
      <x:c r="S252" s="82" t="str">
        <x:v>https://poke.idleworld.online/pokepedia/pokemon/tyranitar</x:v>
      </x:c>
      <x:c r="T252" s="143" t="n">
        <x:f>MAX(K252,M252)*Metodologia!$B$16</x:f>
        <x:v>174.20000000000002</x:v>
      </x:c>
      <x:c r="U252" s="143" t="n">
        <x:f>MIN(K252,M252)*Metodologia!$B$16</x:f>
        <x:v>123.5</x:v>
      </x:c>
      <x:c r="V252" s="144" t="n">
        <x:f>SQRT(J252*AVERAGE(L252,N252)*Metodologia!$B$16)</x:f>
        <x:v>116.83321445547922</x:v>
      </x:c>
    </x:row>
    <x:row r="253" ht="22" customHeight="1">
      <x:c r="A253" s="82" t="n">
        <x:v>249</x:v>
      </x:c>
      <x:c r="B253" s="82" t="str">
        <x:v>Lugia</x:v>
      </x:c>
      <x:c r="C253" s="82" t="str">
        <x:v>Psíquico / Voador</x:v>
      </x:c>
      <x:c r="D253" s="82" t="str">
        <x:v>Wingeon / Psycraft</x:v>
      </x:c>
      <x:c r="E253" s="82" t="n">
        <x:v>2</x:v>
      </x:c>
      <x:c r="F253" s="82" t="str">
        <x:f>IF(G253&gt;=80,"S+",IF(G253&gt;=72,"S",IF(G253&gt;=65,"A",IF(G253&gt;=58,"B",IF(G253&gt;=50,"C",IF(G253&gt;=42,"D","E"))))))</x:f>
        <x:v>A</x:v>
      </x:c>
      <x:c r="G253" s="142" t="n">
        <x:f>ROUND(100*(Metodologia!$B$17*(T253/Metodologia!$B$22)+Metodologia!$B$18*(U253/Metodologia!$B$23)+Metodologia!$B$19*(V253/Metodologia!$B$24)+Metodologia!$B$20*(O253/Metodologia!$B$25)+Metodologia!$B$21*(I253/Metodologia!$B$26)),2)</x:f>
        <x:v>69.11</x:v>
      </x:c>
      <x:c r="H253" s="82" t="str">
        <x:f>IF(R253&lt;&gt;"Rankeado","",COUNTIFS($R$5:$R$255,"Rankeado",$G$5:$G$255,"&gt;"&amp;G253)+COUNTIFS($R$5:R253,"Rankeado",$G$5:G253,G253))</x:f>
      </x:c>
      <x:c r="I253" s="82" t="n">
        <x:f>SUM(J253:O253)</x:f>
        <x:v>680</x:v>
      </x:c>
      <x:c r="J253" s="82" t="n">
        <x:v>106</x:v>
      </x:c>
      <x:c r="K253" s="82" t="n">
        <x:v>90</x:v>
      </x:c>
      <x:c r="L253" s="82" t="n">
        <x:v>130</x:v>
      </x:c>
      <x:c r="M253" s="82" t="n">
        <x:v>90</x:v>
      </x:c>
      <x:c r="N253" s="82" t="n">
        <x:v>154</x:v>
      </x:c>
      <x:c r="O253" s="82" t="n">
        <x:v>110</x:v>
      </x:c>
      <x:c r="P253" s="82" t="str">
        <x:v>Não</x:v>
      </x:c>
      <x:c r="Q253" s="82" t="str">
        <x:v>Sim</x:v>
      </x:c>
      <x:c r="R253" s="82" t="str">
        <x:v>Excluído do utilizável</x:v>
      </x:c>
      <x:c r="S253" s="82" t="str">
        <x:v>https://poke.idleworld.online/pokepedia/pokemon/lugia</x:v>
      </x:c>
      <x:c r="T253" s="143" t="n">
        <x:f>MAX(K253,M253)*Metodologia!$B$16</x:f>
        <x:v>117</x:v>
      </x:c>
      <x:c r="U253" s="143" t="n">
        <x:f>MIN(K253,M253)*Metodologia!$B$16</x:f>
        <x:v>117</x:v>
      </x:c>
      <x:c r="V253" s="144" t="n">
        <x:f>SQRT(J253*AVERAGE(L253,N253)*Metodologia!$B$16)</x:f>
        <x:v>139.88423785401986</x:v>
      </x:c>
    </x:row>
    <x:row r="254" ht="22" customHeight="1">
      <x:c r="A254" s="82" t="n">
        <x:v>250</x:v>
      </x:c>
      <x:c r="B254" s="82" t="str">
        <x:v>Ho-Oh</x:v>
      </x:c>
      <x:c r="C254" s="82" t="str">
        <x:v>Fogo / Voador</x:v>
      </x:c>
      <x:c r="D254" s="82" t="str">
        <x:v>Volcanic / Wingeon</x:v>
      </x:c>
      <x:c r="E254" s="82" t="n">
        <x:v>2</x:v>
      </x:c>
      <x:c r="F254" s="82" t="str">
        <x:f>IF(G254&gt;=80,"S+",IF(G254&gt;=72,"S",IF(G254&gt;=65,"A",IF(G254&gt;=58,"B",IF(G254&gt;=50,"C",IF(G254&gt;=42,"D","E"))))))</x:f>
        <x:v>S+</x:v>
      </x:c>
      <x:c r="G254" s="142" t="n">
        <x:f>ROUND(100*(Metodologia!$B$17*(T254/Metodologia!$B$22)+Metodologia!$B$18*(U254/Metodologia!$B$23)+Metodologia!$B$19*(V254/Metodologia!$B$24)+Metodologia!$B$20*(O254/Metodologia!$B$25)+Metodologia!$B$21*(I254/Metodologia!$B$26)),2)</x:f>
        <x:v>84.19</x:v>
      </x:c>
      <x:c r="H254" s="82" t="str">
        <x:f>IF(R254&lt;&gt;"Rankeado","",COUNTIFS($R$5:$R$255,"Rankeado",$G$5:$G$255,"&gt;"&amp;G254)+COUNTIFS($R$5:R254,"Rankeado",$G$5:G254,G254))</x:f>
      </x:c>
      <x:c r="I254" s="82" t="n">
        <x:f>SUM(J254:O254)</x:f>
        <x:v>680</x:v>
      </x:c>
      <x:c r="J254" s="82" t="n">
        <x:v>106</x:v>
      </x:c>
      <x:c r="K254" s="82" t="n">
        <x:v>130</x:v>
      </x:c>
      <x:c r="L254" s="82" t="n">
        <x:v>90</x:v>
      </x:c>
      <x:c r="M254" s="82" t="n">
        <x:v>110</x:v>
      </x:c>
      <x:c r="N254" s="82" t="n">
        <x:v>154</x:v>
      </x:c>
      <x:c r="O254" s="82" t="n">
        <x:v>90</x:v>
      </x:c>
      <x:c r="P254" s="82" t="str">
        <x:v>Não</x:v>
      </x:c>
      <x:c r="Q254" s="82" t="str">
        <x:v>Sim</x:v>
      </x:c>
      <x:c r="R254" s="82" t="str">
        <x:v>Excluído do utilizável</x:v>
      </x:c>
      <x:c r="S254" s="82" t="str">
        <x:v>https://poke.idleworld.online/pokepedia/pokemon/ho-oh</x:v>
      </x:c>
      <x:c r="T254" s="143" t="n">
        <x:f>MAX(K254,M254)*Metodologia!$B$16</x:f>
        <x:v>169</x:v>
      </x:c>
      <x:c r="U254" s="143" t="n">
        <x:f>MIN(K254,M254)*Metodologia!$B$16</x:f>
        <x:v>143</x:v>
      </x:c>
      <x:c r="V254" s="144" t="n">
        <x:f>SQRT(J254*AVERAGE(L254,N254)*Metodologia!$B$16)</x:f>
        <x:v>129.6595542179596</x:v>
      </x:c>
    </x:row>
    <x:row r="255" ht="22" customHeight="1">
      <x:c r="A255" s="86" t="n">
        <x:v>251</x:v>
      </x:c>
      <x:c r="B255" s="86" t="str">
        <x:v>Celebi</x:v>
      </x:c>
      <x:c r="C255" s="86" t="str">
        <x:v>Psíquico / Planta</x:v>
      </x:c>
      <x:c r="D255" s="86" t="str">
        <x:v>Naturia / Psycraft</x:v>
      </x:c>
      <x:c r="E255" s="86" t="n">
        <x:v>2</x:v>
      </x:c>
      <x:c r="F255" s="86" t="str">
        <x:f>IF(G255&gt;=80,"S+",IF(G255&gt;=72,"S",IF(G255&gt;=65,"A",IF(G255&gt;=58,"B",IF(G255&gt;=50,"C",IF(G255&gt;=42,"D","E"))))))</x:f>
        <x:v>A</x:v>
      </x:c>
      <x:c r="G255" s="145" t="n">
        <x:f>ROUND(100*(Metodologia!$B$17*(T255/Metodologia!$B$22)+Metodologia!$B$18*(U255/Metodologia!$B$23)+Metodologia!$B$19*(V255/Metodologia!$B$24)+Metodologia!$B$20*(O255/Metodologia!$B$25)+Metodologia!$B$21*(I255/Metodologia!$B$26)),2)</x:f>
        <x:v>70.16</x:v>
      </x:c>
      <x:c r="H255" s="86" t="str">
        <x:f>IF(R255&lt;&gt;"Rankeado","",COUNTIFS($R$5:$R$255,"Rankeado",$G$5:$G$255,"&gt;"&amp;G255)+COUNTIFS($R$5:R255,"Rankeado",$G$5:G255,G255))</x:f>
      </x:c>
      <x:c r="I255" s="86" t="n">
        <x:f>SUM(J255:O255)</x:f>
        <x:v>600</x:v>
      </x:c>
      <x:c r="J255" s="86" t="n">
        <x:v>100</x:v>
      </x:c>
      <x:c r="K255" s="86" t="n">
        <x:v>100</x:v>
      </x:c>
      <x:c r="L255" s="86" t="n">
        <x:v>100</x:v>
      </x:c>
      <x:c r="M255" s="86" t="n">
        <x:v>100</x:v>
      </x:c>
      <x:c r="N255" s="86" t="n">
        <x:v>100</x:v>
      </x:c>
      <x:c r="O255" s="86" t="n">
        <x:v>100</x:v>
      </x:c>
      <x:c r="P255" s="86" t="str">
        <x:v>Não</x:v>
      </x:c>
      <x:c r="Q255" s="86" t="str">
        <x:v>Sim</x:v>
      </x:c>
      <x:c r="R255" s="86" t="str">
        <x:v>Excluído do utilizável</x:v>
      </x:c>
      <x:c r="S255" s="86" t="str">
        <x:v>https://poke.idleworld.online/pokepedia/pokemon/celebi</x:v>
      </x:c>
      <x:c r="T255" s="146" t="n">
        <x:f>MAX(K255,M255)*Metodologia!$B$16</x:f>
        <x:v>130</x:v>
      </x:c>
      <x:c r="U255" s="146" t="n">
        <x:f>MIN(K255,M255)*Metodologia!$B$16</x:f>
        <x:v>130</x:v>
      </x:c>
      <x:c r="V255" s="147" t="n">
        <x:f>SQRT(J255*AVERAGE(L255,N255)*Metodologia!$B$16)</x:f>
        <x:v>114.0175425099138</x:v>
      </x:c>
    </x:row>
  </x:sheetData>
  <x:mergeCells>
    <x:mergeCell ref="A1:V1"/>
    <x:mergeCell ref="A2:V2"/>
  </x:mergeCells>
  <x:conditionalFormatting sqref="G5:G255">
    <x:cfRule type="colorScale" priority="1">
      <x:colorScale>
        <x:cfvo type="min"/>
        <x:cfvo type="percentile" val="50"/>
        <x:cfvo type="max"/>
        <x:color rgb="FF6B1F1A"/>
        <x:color rgb="FFD98350"/>
        <x:color rgb="FF5F9D6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d424663a269466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8" hidden="0" customWidth="1"/>
    <x:col min="4" max="4" width="10" hidden="0" customWidth="1"/>
    <x:col min="5" max="5" width="7" hidden="0" customWidth="1"/>
    <x:col min="6" max="6" width="20" hidden="0" customWidth="1"/>
    <x:col min="7" max="7" width="22" hidden="0" customWidth="1"/>
    <x:col min="8" max="8" width="12" hidden="0" customWidth="1"/>
    <x:col min="9" max="9" width="11" hidden="0" customWidth="1"/>
    <x:col min="10" max="10" width="9" hidden="0" customWidth="1"/>
    <x:col min="11" max="11" width="8" hidden="0" customWidth="1"/>
    <x:col min="12" max="12" width="8" hidden="0" customWidth="1"/>
    <x:col min="13" max="13" width="8" hidden="0" customWidth="1"/>
    <x:col min="14" max="14" width="10" hidden="0" customWidth="1"/>
    <x:col min="15" max="15" width="10" hidden="0" customWidth="1"/>
    <x:col min="16" max="16" width="9" hidden="0" customWidth="1"/>
    <x:col min="17" max="17" width="18" hidden="0" customWidth="1"/>
    <x:col min="18" max="18" width="21" hidden="0" customWidth="1"/>
    <x:col min="19" max="19" width="16" hidden="0" customWidth="1"/>
    <x:col min="20" max="20" width="13" hidden="0" customWidth="1"/>
    <x:col min="21" max="21" width="23" hidden="0" customWidth="1"/>
    <x:col min="22" max="22" width="48" hidden="0" customWidth="1"/>
    <x:col min="23" max="23" width="52" hidden="0" customWidth="1"/>
    <x:col min="24" max="24" width="52" hidden="0" customWidth="1"/>
    <x:col min="25" max="25" width="56" hidden="0" customWidth="1"/>
  </x:cols>
  <x:sheetData>
    <x:row r="1" ht="34" customHeight="1">
      <x:c r="A1" s="5" t="str">
        <x:v>Volcanic · ranking completo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 ht="24" customHeight="1">
      <x:c r="A2" s="12" t="str">
        <x:v>Fogo · 19 utilizáveis · time recomendado: Flareon · Arcanine · Charizard · Typhlosion · Houndoom · Magmar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</x:row>
    <x:row r="4">
      <x:c r="A4" s="115" t="str">
        <x:v>Posição</x:v>
      </x:c>
      <x:c r="B4" s="115" t="str">
        <x:v>Rank teórico</x:v>
      </x:c>
      <x:c r="C4" s="115" t="str">
        <x:v>Tier</x:v>
      </x:c>
      <x:c r="D4" s="115" t="str">
        <x:v>Time 6</x:v>
      </x:c>
      <x:c r="E4" s="115" t="str">
        <x:v>#</x:v>
      </x:c>
      <x:c r="F4" s="115" t="str">
        <x:v>Pokémon</x:v>
      </x:c>
      <x:c r="G4" s="115" t="str">
        <x:v>Tipos</x:v>
      </x:c>
      <x:c r="H4" s="115" t="str">
        <x:v>Perfil</x:v>
      </x:c>
      <x:c r="I4" s="115" t="str">
        <x:v>Score</x:v>
      </x:c>
      <x:c r="J4" s="115" t="str">
        <x:v>BST</x:v>
      </x:c>
      <x:c r="K4" s="115" t="str">
        <x:v>HP</x:v>
      </x:c>
      <x:c r="L4" s="115" t="str">
        <x:v>ATK</x:v>
      </x:c>
      <x:c r="M4" s="115" t="str">
        <x:v>DEF</x:v>
      </x:c>
      <x:c r="N4" s="115" t="str">
        <x:v>Sp. ATK</x:v>
      </x:c>
      <x:c r="O4" s="115" t="str">
        <x:v>Sp. DEF</x:v>
      </x:c>
      <x:c r="P4" s="115" t="str">
        <x:v>Speed</x:v>
      </x:c>
      <x:c r="Q4" s="115" t="str">
        <x:v>Teto ofensivo R5</x:v>
      </x:c>
      <x:c r="R4" s="115" t="str">
        <x:v>Ofensiva secundária R5</x:v>
      </x:c>
      <x:c r="S4" s="115" t="str">
        <x:v>Robustez R5</x:v>
      </x:c>
      <x:c r="T4" s="115" t="str">
        <x:v>Hunt Kanto</x:v>
      </x:c>
      <x:c r="U4" s="115" t="str">
        <x:v>Status</x:v>
      </x:c>
      <x:c r="V4" s="115" t="str">
        <x:v>Leitura técnica</x:v>
      </x:c>
      <x:c r="W4" s="115" t="str">
        <x:v>Por que abaixo do anterior</x:v>
      </x:c>
      <x:c r="X4" s="115" t="str">
        <x:v>Por que acima do seguinte</x:v>
      </x:c>
      <x:c r="Y4" s="115" t="str">
        <x:v>Fonte</x:v>
      </x:c>
    </x:row>
    <x:row r="5" ht="48" customHeight="1">
      <x:c r="A5" s="82" t="n">
        <x:f>IF(U5&lt;&gt;"Rankeado","",COUNTIFS($U$5:$U$26,"Rankeado",$I$5:$I$26,"&gt;"&amp;I5)+COUNTIFS($U$5:U5,"Rankeado",$I$5:I5,I5))</x:f>
        <x:v>1</x:v>
      </x:c>
      <x:c r="B5" s="82" t="n">
        <x:f>COUNTIF($I$5:$I$26,"&gt;"&amp;I5)+COUNTIF($I$5:I5,I5)</x:f>
        <x:v>3</x:v>
      </x:c>
      <x:c r="C5" s="82" t="str">
        <x:f>IF(I5&gt;=80,"S+",IF(I5&gt;=72,"S",IF(I5&gt;=65,"A",IF(I5&gt;=58,"B",IF(I5&gt;=50,"C",IF(I5&gt;=42,"D","E"))))))</x:f>
        <x:v>S</x:v>
      </x:c>
      <x:c r="D5" s="82" t="str">
        <x:f>IF(AND(U5="Rankeado",A5&lt;=6),"Sim","Não")</x:f>
        <x:v>Sim</x:v>
      </x:c>
      <x:c r="E5" s="82" t="n">
        <x:v>136</x:v>
      </x:c>
      <x:c r="F5" s="80" t="str">
        <x:v>Flareon</x:v>
      </x:c>
      <x:c r="G5" s="82" t="str">
        <x:v>Fogo</x:v>
      </x:c>
      <x:c r="H5" s="82" t="str">
        <x:v>Físico</x:v>
      </x:c>
      <x:c r="I5" s="142" t="n">
        <x:f>ROUND(100*(Metodologia!$B$17*(Q5/Metodologia!$B$22)+Metodologia!$B$18*(R5/Metodologia!$B$23)+Metodologia!$B$19*(S5/Metodologia!$B$24)+Metodologia!$B$20*(P5/Metodologia!$B$25)+Metodologia!$B$21*(J5/Metodologia!$B$26)),2)</x:f>
        <x:v>75.68</x:v>
      </x:c>
      <x:c r="J5" s="82" t="n">
        <x:f>SUM(K5:P5)</x:f>
        <x:v>525</x:v>
      </x:c>
      <x:c r="K5" s="82" t="n">
        <x:v>65</x:v>
      </x:c>
      <x:c r="L5" s="82" t="n">
        <x:v>130</x:v>
      </x:c>
      <x:c r="M5" s="82" t="n">
        <x:v>60</x:v>
      </x:c>
      <x:c r="N5" s="82" t="n">
        <x:v>95</x:v>
      </x:c>
      <x:c r="O5" s="82" t="n">
        <x:v>110</x:v>
      </x:c>
      <x:c r="P5" s="82" t="n">
        <x:v>65</x:v>
      </x:c>
      <x:c r="Q5" s="143" t="n">
        <x:f>MAX(L5,N5)*Metodologia!$B$16</x:f>
        <x:v>169</x:v>
      </x:c>
      <x:c r="R5" s="143" t="n">
        <x:f>MIN(L5,N5)*Metodologia!$B$16</x:f>
        <x:v>123.5</x:v>
      </x:c>
      <x:c r="S5" s="143" t="n">
        <x:f>SQRT(K5*AVERAGE(M5,O5)*Metodologia!$B$16)</x:f>
        <x:v>84.74963126763443</x:v>
      </x:c>
      <x:c r="T5" s="82" t="str">
        <x:v>Não</x:v>
      </x:c>
      <x:c r="U5" s="82" t="str">
        <x:v>Rankeado</x:v>
      </x:c>
      <x:c r="V5" s="82" t="str">
        <x:v>Perfil físico; melhor atributo ofensivo 130, ofensiva secundária 95, robustez relativa 55% e Speed 65. O índice privilegia dano de hunt, sem ignorar sobrevivência.</x:v>
      </x:c>
      <x:c r="W5" s="82" t="str">
        <x:v>É o líder do clã no modelo.</x:v>
      </x:c>
      <x:c r="X5" s="82" t="str">
        <x:v>Fica à frente de Arcanine porque possui teto ofensivo 18.2% maior.</x:v>
      </x:c>
      <x:c r="Y5" s="154" t="str">
        <x:v>https://poke.idleworld.online/pokepedia/pokemon/flareon</x:v>
      </x:c>
    </x:row>
    <x:row r="6" ht="48" customHeight="1">
      <x:c r="A6" s="82" t="n">
        <x:f>IF(U6&lt;&gt;"Rankeado","",COUNTIFS($U$5:$U$26,"Rankeado",$I$5:$I$26,"&gt;"&amp;I6)+COUNTIFS($U$5:U6,"Rankeado",$I$5:I6,I6))</x:f>
        <x:v>2</x:v>
      </x:c>
      <x:c r="B6" s="82" t="n">
        <x:f>COUNTIF($I$5:$I$26,"&gt;"&amp;I6)+COUNTIF($I$5:I6,I6)</x:f>
        <x:v>5</x:v>
      </x:c>
      <x:c r="C6" s="82" t="str">
        <x:f>IF(I6&gt;=80,"S+",IF(I6&gt;=72,"S",IF(I6&gt;=65,"A",IF(I6&gt;=58,"B",IF(I6&gt;=50,"C",IF(I6&gt;=42,"D","E"))))))</x:f>
        <x:v>A</x:v>
      </x:c>
      <x:c r="D6" s="82" t="str">
        <x:f>IF(AND(U6="Rankeado",A6&lt;=6),"Sim","Não")</x:f>
        <x:v>Sim</x:v>
      </x:c>
      <x:c r="E6" s="82" t="n">
        <x:v>59</x:v>
      </x:c>
      <x:c r="F6" s="80" t="str">
        <x:v>Arcanine</x:v>
      </x:c>
      <x:c r="G6" s="82" t="str">
        <x:v>Fogo</x:v>
      </x:c>
      <x:c r="H6" s="82" t="str">
        <x:v>Misto</x:v>
      </x:c>
      <x:c r="I6" s="142" t="n">
        <x:f>ROUND(100*(Metodologia!$B$17*(Q6/Metodologia!$B$22)+Metodologia!$B$18*(R6/Metodologia!$B$23)+Metodologia!$B$19*(S6/Metodologia!$B$24)+Metodologia!$B$20*(P6/Metodologia!$B$25)+Metodologia!$B$21*(J6/Metodologia!$B$26)),2)</x:f>
        <x:v>71.72</x:v>
      </x:c>
      <x:c r="J6" s="82" t="n">
        <x:f>SUM(K6:P6)</x:f>
        <x:v>555</x:v>
      </x:c>
      <x:c r="K6" s="82" t="n">
        <x:v>90</x:v>
      </x:c>
      <x:c r="L6" s="82" t="n">
        <x:v>110</x:v>
      </x:c>
      <x:c r="M6" s="82" t="n">
        <x:v>80</x:v>
      </x:c>
      <x:c r="N6" s="82" t="n">
        <x:v>100</x:v>
      </x:c>
      <x:c r="O6" s="82" t="n">
        <x:v>80</x:v>
      </x:c>
      <x:c r="P6" s="82" t="n">
        <x:v>95</x:v>
      </x:c>
      <x:c r="Q6" s="143" t="n">
        <x:f>MAX(L6,N6)*Metodologia!$B$16</x:f>
        <x:v>143</x:v>
      </x:c>
      <x:c r="R6" s="143" t="n">
        <x:f>MIN(L6,N6)*Metodologia!$B$16</x:f>
        <x:v>130</x:v>
      </x:c>
      <x:c r="S6" s="143" t="n">
        <x:f>SQRT(K6*AVERAGE(M6,O6)*Metodologia!$B$16)</x:f>
        <x:v>96.74709297958259</x:v>
      </x:c>
      <x:c r="T6" s="82" t="str">
        <x:v>Sim</x:v>
      </x:c>
      <x:c r="U6" s="82" t="str">
        <x:v>Rankeado</x:v>
      </x:c>
      <x:c r="V6" s="82" t="str">
        <x:v>Perfil misto; melhor atributo ofensivo 110, ofensiva secundária 100, robustez relativa 62% e Speed 95. O índice privilegia dano de hunt, sem ignorar sobrevivência.</x:v>
      </x:c>
      <x:c r="W6" s="82" t="str">
        <x:v>Fica atrás de Flareon principalmente por teto ofensivo 15.4% menor.</x:v>
      </x:c>
      <x:c r="X6" s="82" t="str">
        <x:v>Fica à frente de Charizard porque possui ofensiva secundária 19.0% maior e robustez sustentada 6.4% maior.</x:v>
      </x:c>
      <x:c r="Y6" s="154" t="str">
        <x:v>https://poke.idleworld.online/pokepedia/pokemon/arcanine</x:v>
      </x:c>
    </x:row>
    <x:row r="7" ht="48" customHeight="1">
      <x:c r="A7" s="82" t="n">
        <x:f>IF(U7&lt;&gt;"Rankeado","",COUNTIFS($U$5:$U$26,"Rankeado",$I$5:$I$26,"&gt;"&amp;I7)+COUNTIFS($U$5:U7,"Rankeado",$I$5:I7,I7))</x:f>
        <x:v>3</x:v>
      </x:c>
      <x:c r="B7" s="82" t="n">
        <x:f>COUNTIF($I$5:$I$26,"&gt;"&amp;I7)+COUNTIF($I$5:I7,I7)</x:f>
        <x:v>6</x:v>
      </x:c>
      <x:c r="C7" s="82" t="str">
        <x:f>IF(I7&gt;=80,"S+",IF(I7&gt;=72,"S",IF(I7&gt;=65,"A",IF(I7&gt;=58,"B",IF(I7&gt;=50,"C",IF(I7&gt;=42,"D","E"))))))</x:f>
        <x:v>A</x:v>
      </x:c>
      <x:c r="D7" s="82" t="str">
        <x:f>IF(AND(U7="Rankeado",A7&lt;=6),"Sim","Não")</x:f>
        <x:v>Sim</x:v>
      </x:c>
      <x:c r="E7" s="82" t="n">
        <x:v>6</x:v>
      </x:c>
      <x:c r="F7" s="80" t="str">
        <x:v>Charizard</x:v>
      </x:c>
      <x:c r="G7" s="82" t="str">
        <x:v>Fogo / Voador</x:v>
      </x:c>
      <x:c r="H7" s="82" t="str">
        <x:v>Especial</x:v>
      </x:c>
      <x:c r="I7" s="142" t="n">
        <x:f>ROUND(100*(Metodologia!$B$17*(Q7/Metodologia!$B$22)+Metodologia!$B$18*(R7/Metodologia!$B$23)+Metodologia!$B$19*(S7/Metodologia!$B$24)+Metodologia!$B$20*(P7/Metodologia!$B$25)+Metodologia!$B$21*(J7/Metodologia!$B$26)),2)</x:f>
        <x:v>69.49</x:v>
      </x:c>
      <x:c r="J7" s="82" t="n">
        <x:f>SUM(K7:P7)</x:f>
        <x:v>534</x:v>
      </x:c>
      <x:c r="K7" s="82" t="n">
        <x:v>78</x:v>
      </x:c>
      <x:c r="L7" s="82" t="n">
        <x:v>84</x:v>
      </x:c>
      <x:c r="M7" s="82" t="n">
        <x:v>78</x:v>
      </x:c>
      <x:c r="N7" s="82" t="n">
        <x:v>109</x:v>
      </x:c>
      <x:c r="O7" s="82" t="n">
        <x:v>85</x:v>
      </x:c>
      <x:c r="P7" s="82" t="n">
        <x:v>100</x:v>
      </x:c>
      <x:c r="Q7" s="143" t="n">
        <x:f>MAX(L7,N7)*Metodologia!$B$16</x:f>
        <x:v>141.70000000000002</x:v>
      </x:c>
      <x:c r="R7" s="143" t="n">
        <x:f>MIN(L7,N7)*Metodologia!$B$16</x:f>
        <x:v>109.2</x:v>
      </x:c>
      <x:c r="S7" s="143" t="n">
        <x:f>SQRT(K7*AVERAGE(M7,O7)*Metodologia!$B$16)</x:f>
        <x:v>90.90709543264487</x:v>
      </x:c>
      <x:c r="T7" s="82" t="str">
        <x:v>Sim</x:v>
      </x:c>
      <x:c r="U7" s="82" t="str">
        <x:v>Rankeado</x:v>
      </x:c>
      <x:c r="V7" s="82" t="str">
        <x:v>Perfil especial; melhor atributo ofensivo 109, ofensiva secundária 84, robustez relativa 59% e Speed 100. O índice privilegia dano de hunt, sem ignorar sobrevivência.</x:v>
      </x:c>
      <x:c r="W7" s="82" t="str">
        <x:v>Fica atrás de Arcanine principalmente por ofensiva secundária 16.0% menor e robustez sustentada 6.0% menor.</x:v>
      </x:c>
      <x:c r="X7" s="82" t="str">
        <x:v>Fica à frente de Typhlosion apenas pelo desempate técnico do modelo.</x:v>
      </x:c>
      <x:c r="Y7" s="154" t="str">
        <x:v>https://poke.idleworld.online/pokepedia/pokemon/charizard</x:v>
      </x:c>
    </x:row>
    <x:row r="8" ht="48" customHeight="1">
      <x:c r="A8" s="82" t="n">
        <x:f>IF(U8&lt;&gt;"Rankeado","",COUNTIFS($U$5:$U$26,"Rankeado",$I$5:$I$26,"&gt;"&amp;I8)+COUNTIFS($U$5:U8,"Rankeado",$I$5:I8,I8))</x:f>
        <x:v>4</x:v>
      </x:c>
      <x:c r="B8" s="82" t="n">
        <x:f>COUNTIF($I$5:$I$26,"&gt;"&amp;I8)+COUNTIF($I$5:I8,I8)</x:f>
        <x:v>7</x:v>
      </x:c>
      <x:c r="C8" s="82" t="str">
        <x:f>IF(I8&gt;=80,"S+",IF(I8&gt;=72,"S",IF(I8&gt;=65,"A",IF(I8&gt;=58,"B",IF(I8&gt;=50,"C",IF(I8&gt;=42,"D","E"))))))</x:f>
        <x:v>A</x:v>
      </x:c>
      <x:c r="D8" s="82" t="str">
        <x:f>IF(AND(U8="Rankeado",A8&lt;=6),"Sim","Não")</x:f>
        <x:v>Sim</x:v>
      </x:c>
      <x:c r="E8" s="82" t="n">
        <x:v>157</x:v>
      </x:c>
      <x:c r="F8" s="80" t="str">
        <x:v>Typhlosion</x:v>
      </x:c>
      <x:c r="G8" s="82" t="str">
        <x:v>Fogo</x:v>
      </x:c>
      <x:c r="H8" s="82" t="str">
        <x:v>Especial</x:v>
      </x:c>
      <x:c r="I8" s="142" t="n">
        <x:f>ROUND(100*(Metodologia!$B$17*(Q8/Metodologia!$B$22)+Metodologia!$B$18*(R8/Metodologia!$B$23)+Metodologia!$B$19*(S8/Metodologia!$B$24)+Metodologia!$B$20*(P8/Metodologia!$B$25)+Metodologia!$B$21*(J8/Metodologia!$B$26)),2)</x:f>
        <x:v>69.49</x:v>
      </x:c>
      <x:c r="J8" s="82" t="n">
        <x:f>SUM(K8:P8)</x:f>
        <x:v>534</x:v>
      </x:c>
      <x:c r="K8" s="82" t="n">
        <x:v>78</x:v>
      </x:c>
      <x:c r="L8" s="82" t="n">
        <x:v>84</x:v>
      </x:c>
      <x:c r="M8" s="82" t="n">
        <x:v>78</x:v>
      </x:c>
      <x:c r="N8" s="82" t="n">
        <x:v>109</x:v>
      </x:c>
      <x:c r="O8" s="82" t="n">
        <x:v>85</x:v>
      </x:c>
      <x:c r="P8" s="82" t="n">
        <x:v>100</x:v>
      </x:c>
      <x:c r="Q8" s="143" t="n">
        <x:f>MAX(L8,N8)*Metodologia!$B$16</x:f>
        <x:v>141.70000000000002</x:v>
      </x:c>
      <x:c r="R8" s="143" t="n">
        <x:f>MIN(L8,N8)*Metodologia!$B$16</x:f>
        <x:v>109.2</x:v>
      </x:c>
      <x:c r="S8" s="143" t="n">
        <x:f>SQRT(K8*AVERAGE(M8,O8)*Metodologia!$B$16)</x:f>
        <x:v>90.90709543264487</x:v>
      </x:c>
      <x:c r="T8" s="82" t="str">
        <x:v>Sim</x:v>
      </x:c>
      <x:c r="U8" s="82" t="str">
        <x:v>Rankeado</x:v>
      </x:c>
      <x:c r="V8" s="82" t="str">
        <x:v>Perfil especial; melhor atributo ofensivo 109, ofensiva secundária 84, robustez relativa 59% e Speed 100. O índice privilegia dano de hunt, sem ignorar sobrevivência.</x:v>
      </x:c>
      <x:c r="W8" s="82" t="str">
        <x:v>Fica atrás de Charizard apenas pelo desempate técnico do modelo.</x:v>
      </x:c>
      <x:c r="X8" s="82" t="str">
        <x:v>Fica à frente de Houndoom porque possui robustez sustentada 14.2% maior e velocidade 5.3% maior.</x:v>
      </x:c>
      <x:c r="Y8" s="154" t="str">
        <x:v>https://poke.idleworld.online/pokepedia/pokemon/typhlosion</x:v>
      </x:c>
    </x:row>
    <x:row r="9" ht="48" customHeight="1">
      <x:c r="A9" s="82" t="n">
        <x:f>IF(U9&lt;&gt;"Rankeado","",COUNTIFS($U$5:$U$26,"Rankeado",$I$5:$I$26,"&gt;"&amp;I9)+COUNTIFS($U$5:U9,"Rankeado",$I$5:I9,I9))</x:f>
        <x:v>5</x:v>
      </x:c>
      <x:c r="B9" s="82" t="n">
        <x:f>COUNTIF($I$5:$I$26,"&gt;"&amp;I9)+COUNTIF($I$5:I9,I9)</x:f>
        <x:v>8</x:v>
      </x:c>
      <x:c r="C9" s="82" t="str">
        <x:f>IF(I9&gt;=80,"S+",IF(I9&gt;=72,"S",IF(I9&gt;=65,"A",IF(I9&gt;=58,"B",IF(I9&gt;=50,"C",IF(I9&gt;=42,"D","E"))))))</x:f>
        <x:v>A</x:v>
      </x:c>
      <x:c r="D9" s="82" t="str">
        <x:f>IF(AND(U9="Rankeado",A9&lt;=6),"Sim","Não")</x:f>
        <x:v>Sim</x:v>
      </x:c>
      <x:c r="E9" s="82" t="n">
        <x:v>229</x:v>
      </x:c>
      <x:c r="F9" s="80" t="str">
        <x:v>Houndoom</x:v>
      </x:c>
      <x:c r="G9" s="82" t="str">
        <x:v>Sombrio / Fogo</x:v>
      </x:c>
      <x:c r="H9" s="82" t="str">
        <x:v>Especial</x:v>
      </x:c>
      <x:c r="I9" s="142" t="n">
        <x:f>ROUND(100*(Metodologia!$B$17*(Q9/Metodologia!$B$22)+Metodologia!$B$18*(R9/Metodologia!$B$23)+Metodologia!$B$19*(S9/Metodologia!$B$24)+Metodologia!$B$20*(P9/Metodologia!$B$25)+Metodologia!$B$21*(J9/Metodologia!$B$26)),2)</x:f>
        <x:v>68.75</x:v>
      </x:c>
      <x:c r="J9" s="82" t="n">
        <x:f>SUM(K9:P9)</x:f>
        <x:v>500</x:v>
      </x:c>
      <x:c r="K9" s="82" t="n">
        <x:v>75</x:v>
      </x:c>
      <x:c r="L9" s="82" t="n">
        <x:v>90</x:v>
      </x:c>
      <x:c r="M9" s="82" t="n">
        <x:v>50</x:v>
      </x:c>
      <x:c r="N9" s="82" t="n">
        <x:v>110</x:v>
      </x:c>
      <x:c r="O9" s="82" t="n">
        <x:v>80</x:v>
      </x:c>
      <x:c r="P9" s="82" t="n">
        <x:v>95</x:v>
      </x:c>
      <x:c r="Q9" s="143" t="n">
        <x:f>MAX(L9,N9)*Metodologia!$B$16</x:f>
        <x:v>143</x:v>
      </x:c>
      <x:c r="R9" s="143" t="n">
        <x:f>MIN(L9,N9)*Metodologia!$B$16</x:f>
        <x:v>117</x:v>
      </x:c>
      <x:c r="S9" s="143" t="n">
        <x:f>SQRT(K9*AVERAGE(M9,O9)*Metodologia!$B$16)</x:f>
        <x:v>79.60841664045329</x:v>
      </x:c>
      <x:c r="T9" s="82" t="str">
        <x:v>Sim</x:v>
      </x:c>
      <x:c r="U9" s="82" t="str">
        <x:v>Rankeado</x:v>
      </x:c>
      <x:c r="V9" s="82" t="str">
        <x:v>Perfil especial; melhor atributo ofensivo 110, ofensiva secundária 90, robustez relativa 51% e Speed 95. O índice privilegia dano de hunt, sem ignorar sobrevivência.</x:v>
      </x:c>
      <x:c r="W9" s="82" t="str">
        <x:v>Fica atrás de Typhlosion principalmente por robustez sustentada 12.4% menor e velocidade 5.0% menor.</x:v>
      </x:c>
      <x:c r="X9" s="82" t="str">
        <x:v>Fica à frente de Magmar porque possui teto ofensivo 10.0% maior e robustez sustentada 2.8% maior.</x:v>
      </x:c>
      <x:c r="Y9" s="154" t="str">
        <x:v>https://poke.idleworld.online/pokepedia/pokemon/houndoom</x:v>
      </x:c>
    </x:row>
    <x:row r="10" ht="48" customHeight="1">
      <x:c r="A10" s="82" t="n">
        <x:f>IF(U10&lt;&gt;"Rankeado","",COUNTIFS($U$5:$U$26,"Rankeado",$I$5:$I$26,"&gt;"&amp;I10)+COUNTIFS($U$5:U10,"Rankeado",$I$5:I10,I10))</x:f>
        <x:v>6</x:v>
      </x:c>
      <x:c r="B10" s="82" t="n">
        <x:f>COUNTIF($I$5:$I$26,"&gt;"&amp;I10)+COUNTIF($I$5:I10,I10)</x:f>
        <x:v>9</x:v>
      </x:c>
      <x:c r="C10" s="82" t="str">
        <x:f>IF(I10&gt;=80,"S+",IF(I10&gt;=72,"S",IF(I10&gt;=65,"A",IF(I10&gt;=58,"B",IF(I10&gt;=50,"C",IF(I10&gt;=42,"D","E"))))))</x:f>
        <x:v>B</x:v>
      </x:c>
      <x:c r="D10" s="82" t="str">
        <x:f>IF(AND(U10="Rankeado",A10&lt;=6),"Sim","Não")</x:f>
        <x:v>Sim</x:v>
      </x:c>
      <x:c r="E10" s="82" t="n">
        <x:v>126</x:v>
      </x:c>
      <x:c r="F10" s="80" t="str">
        <x:v>Magmar</x:v>
      </x:c>
      <x:c r="G10" s="82" t="str">
        <x:v>Fogo</x:v>
      </x:c>
      <x:c r="H10" s="82" t="str">
        <x:v>Misto</x:v>
      </x:c>
      <x:c r="I10" s="142" t="n">
        <x:f>ROUND(100*(Metodologia!$B$17*(Q10/Metodologia!$B$22)+Metodologia!$B$18*(R10/Metodologia!$B$23)+Metodologia!$B$19*(S10/Metodologia!$B$24)+Metodologia!$B$20*(P10/Metodologia!$B$25)+Metodologia!$B$21*(J10/Metodologia!$B$26)),2)</x:f>
        <x:v>64.93</x:v>
      </x:c>
      <x:c r="J10" s="82" t="n">
        <x:f>SUM(K10:P10)</x:f>
        <x:v>495</x:v>
      </x:c>
      <x:c r="K10" s="82" t="n">
        <x:v>65</x:v>
      </x:c>
      <x:c r="L10" s="82" t="n">
        <x:v>95</x:v>
      </x:c>
      <x:c r="M10" s="82" t="n">
        <x:v>57</x:v>
      </x:c>
      <x:c r="N10" s="82" t="n">
        <x:v>100</x:v>
      </x:c>
      <x:c r="O10" s="82" t="n">
        <x:v>85</x:v>
      </x:c>
      <x:c r="P10" s="82" t="n">
        <x:v>93</x:v>
      </x:c>
      <x:c r="Q10" s="143" t="n">
        <x:f>MAX(L10,N10)*Metodologia!$B$16</x:f>
        <x:v>130</x:v>
      </x:c>
      <x:c r="R10" s="143" t="n">
        <x:f>MIN(L10,N10)*Metodologia!$B$16</x:f>
        <x:v>123.5</x:v>
      </x:c>
      <x:c r="S10" s="143" t="n">
        <x:f>SQRT(K10*AVERAGE(M10,O10)*Metodologia!$B$16)</x:f>
        <x:v>77.45643937078441</x:v>
      </x:c>
      <x:c r="T10" s="82" t="str">
        <x:v>Sim</x:v>
      </x:c>
      <x:c r="U10" s="82" t="str">
        <x:v>Rankeado</x:v>
      </x:c>
      <x:c r="V10" s="82" t="str">
        <x:v>Perfil misto; melhor atributo ofensivo 100, ofensiva secundária 95, robustez relativa 50% e Speed 93. O índice privilegia dano de hunt, sem ignorar sobrevivência.</x:v>
      </x:c>
      <x:c r="W10" s="82" t="str">
        <x:v>Fica atrás de Houndoom principalmente por teto ofensivo 9.1% menor e robustez sustentada 2.7% menor.</x:v>
      </x:c>
      <x:c r="X10" s="82" t="str">
        <x:v>Fica à frente de Rapidash porque possui ofensiva secundária 18.8% maior.</x:v>
      </x:c>
      <x:c r="Y10" s="154" t="str">
        <x:v>https://poke.idleworld.online/pokepedia/pokemon/magmar</x:v>
      </x:c>
    </x:row>
    <x:row r="11" ht="48" customHeight="1">
      <x:c r="A11" s="82" t="n">
        <x:f>IF(U11&lt;&gt;"Rankeado","",COUNTIFS($U$5:$U$26,"Rankeado",$I$5:$I$26,"&gt;"&amp;I11)+COUNTIFS($U$5:U11,"Rankeado",$I$5:I11,I11))</x:f>
        <x:v>7</x:v>
      </x:c>
      <x:c r="B11" s="82" t="n">
        <x:f>COUNTIF($I$5:$I$26,"&gt;"&amp;I11)+COUNTIF($I$5:I11,I11)</x:f>
        <x:v>10</x:v>
      </x:c>
      <x:c r="C11" s="82" t="str">
        <x:f>IF(I11&gt;=80,"S+",IF(I11&gt;=72,"S",IF(I11&gt;=65,"A",IF(I11&gt;=58,"B",IF(I11&gt;=50,"C",IF(I11&gt;=42,"D","E"))))))</x:f>
        <x:v>B</x:v>
      </x:c>
      <x:c r="D11" s="82" t="str">
        <x:f>IF(AND(U11="Rankeado",A11&lt;=6),"Sim","Não")</x:f>
        <x:v>Não</x:v>
      </x:c>
      <x:c r="E11" s="82" t="n">
        <x:v>78</x:v>
      </x:c>
      <x:c r="F11" s="80" t="str">
        <x:v>Rapidash</x:v>
      </x:c>
      <x:c r="G11" s="82" t="str">
        <x:v>Fogo</x:v>
      </x:c>
      <x:c r="H11" s="82" t="str">
        <x:v>Físico</x:v>
      </x:c>
      <x:c r="I11" s="142" t="n">
        <x:f>ROUND(100*(Metodologia!$B$17*(Q11/Metodologia!$B$22)+Metodologia!$B$18*(R11/Metodologia!$B$23)+Metodologia!$B$19*(S11/Metodologia!$B$24)+Metodologia!$B$20*(P11/Metodologia!$B$25)+Metodologia!$B$21*(J11/Metodologia!$B$26)),2)</x:f>
        <x:v>64.61</x:v>
      </x:c>
      <x:c r="J11" s="82" t="n">
        <x:f>SUM(K11:P11)</x:f>
        <x:v>500</x:v>
      </x:c>
      <x:c r="K11" s="82" t="n">
        <x:v>65</x:v>
      </x:c>
      <x:c r="L11" s="82" t="n">
        <x:v>100</x:v>
      </x:c>
      <x:c r="M11" s="82" t="n">
        <x:v>70</x:v>
      </x:c>
      <x:c r="N11" s="82" t="n">
        <x:v>80</x:v>
      </x:c>
      <x:c r="O11" s="82" t="n">
        <x:v>80</x:v>
      </x:c>
      <x:c r="P11" s="82" t="n">
        <x:v>105</x:v>
      </x:c>
      <x:c r="Q11" s="143" t="n">
        <x:f>MAX(L11,N11)*Metodologia!$B$16</x:f>
        <x:v>130</x:v>
      </x:c>
      <x:c r="R11" s="143" t="n">
        <x:f>MIN(L11,N11)*Metodologia!$B$16</x:f>
        <x:v>104</x:v>
      </x:c>
      <x:c r="S11" s="143" t="n">
        <x:f>SQRT(K11*AVERAGE(M11,O11)*Metodologia!$B$16)</x:f>
        <x:v>79.60841664045329</x:v>
      </x:c>
      <x:c r="T11" s="82" t="str">
        <x:v>Sim</x:v>
      </x:c>
      <x:c r="U11" s="82" t="str">
        <x:v>Rankeado</x:v>
      </x:c>
      <x:c r="V11" s="82" t="str">
        <x:v>Perfil físico; melhor atributo ofensivo 100, ofensiva secundária 80, robustez relativa 51% e Speed 105. O índice privilegia dano de hunt, sem ignorar sobrevivência.</x:v>
      </x:c>
      <x:c r="W11" s="82" t="str">
        <x:v>Fica atrás de Magmar principalmente por ofensiva secundária 15.8% menor.</x:v>
      </x:c>
      <x:c r="X11" s="82" t="str">
        <x:v>Fica à frente de Ninetales porque possui teto ofensivo 23.5% maior e ofensiva secundária 5.3% maior.</x:v>
      </x:c>
      <x:c r="Y11" s="154" t="str">
        <x:v>https://poke.idleworld.online/pokepedia/pokemon/rapidash</x:v>
      </x:c>
    </x:row>
    <x:row r="12" ht="48" customHeight="1">
      <x:c r="A12" s="82" t="n">
        <x:f>IF(U12&lt;&gt;"Rankeado","",COUNTIFS($U$5:$U$26,"Rankeado",$I$5:$I$26,"&gt;"&amp;I12)+COUNTIFS($U$5:U12,"Rankeado",$I$5:I12,I12))</x:f>
        <x:v>8</x:v>
      </x:c>
      <x:c r="B12" s="82" t="n">
        <x:f>COUNTIF($I$5:$I$26,"&gt;"&amp;I12)+COUNTIF($I$5:I12,I12)</x:f>
        <x:v>11</x:v>
      </x:c>
      <x:c r="C12" s="82" t="str">
        <x:f>IF(I12&gt;=80,"S+",IF(I12&gt;=72,"S",IF(I12&gt;=65,"A",IF(I12&gt;=58,"B",IF(I12&gt;=50,"C",IF(I12&gt;=42,"D","E"))))))</x:f>
        <x:v>C</x:v>
      </x:c>
      <x:c r="D12" s="82" t="str">
        <x:f>IF(AND(U12="Rankeado",A12&lt;=6),"Sim","Não")</x:f>
        <x:v>Não</x:v>
      </x:c>
      <x:c r="E12" s="82" t="n">
        <x:v>38</x:v>
      </x:c>
      <x:c r="F12" s="80" t="str">
        <x:v>Ninetales</x:v>
      </x:c>
      <x:c r="G12" s="82" t="str">
        <x:v>Fogo</x:v>
      </x:c>
      <x:c r="H12" s="82" t="str">
        <x:v>Misto</x:v>
      </x:c>
      <x:c r="I12" s="142" t="n">
        <x:f>ROUND(100*(Metodologia!$B$17*(Q12/Metodologia!$B$22)+Metodologia!$B$18*(R12/Metodologia!$B$23)+Metodologia!$B$19*(S12/Metodologia!$B$24)+Metodologia!$B$20*(P12/Metodologia!$B$25)+Metodologia!$B$21*(J12/Metodologia!$B$26)),2)</x:f>
        <x:v>57.66</x:v>
      </x:c>
      <x:c r="J12" s="82" t="n">
        <x:f>SUM(K12:P12)</x:f>
        <x:v>505</x:v>
      </x:c>
      <x:c r="K12" s="82" t="n">
        <x:v>73</x:v>
      </x:c>
      <x:c r="L12" s="82" t="n">
        <x:v>76</x:v>
      </x:c>
      <x:c r="M12" s="82" t="n">
        <x:v>75</x:v>
      </x:c>
      <x:c r="N12" s="82" t="n">
        <x:v>81</x:v>
      </x:c>
      <x:c r="O12" s="82" t="n">
        <x:v>100</x:v>
      </x:c>
      <x:c r="P12" s="82" t="n">
        <x:v>100</x:v>
      </x:c>
      <x:c r="Q12" s="143" t="n">
        <x:f>MAX(L12,N12)*Metodologia!$B$16</x:f>
        <x:v>105.3</x:v>
      </x:c>
      <x:c r="R12" s="143" t="n">
        <x:f>MIN(L12,N12)*Metodologia!$B$16</x:f>
        <x:v>98.8</x:v>
      </x:c>
      <x:c r="S12" s="143" t="n">
        <x:f>SQRT(K12*AVERAGE(M12,O12)*Metodologia!$B$16)</x:f>
        <x:v>91.12491426607764</x:v>
      </x:c>
      <x:c r="T12" s="82" t="str">
        <x:v>Sim</x:v>
      </x:c>
      <x:c r="U12" s="82" t="str">
        <x:v>Rankeado</x:v>
      </x:c>
      <x:c r="V12" s="82" t="str">
        <x:v>Perfil misto; melhor atributo ofensivo 81, ofensiva secundária 76, robustez relativa 59% e Speed 100. O índice privilegia dano de hunt, sem ignorar sobrevivência.</x:v>
      </x:c>
      <x:c r="W12" s="82" t="str">
        <x:v>Fica atrás de Rapidash principalmente por teto ofensivo 19.0% menor e ofensiva secundária 5.0% menor.</x:v>
      </x:c>
      <x:c r="X12" s="82" t="str">
        <x:v>Fica à frente de Ponyta porque possui robustez sustentada 45.9% maior e ofensiva secundária 16.9% maior.</x:v>
      </x:c>
      <x:c r="Y12" s="154" t="str">
        <x:v>https://poke.idleworld.online/pokepedia/pokemon/ninetales</x:v>
      </x:c>
    </x:row>
    <x:row r="13" ht="48" customHeight="1">
      <x:c r="A13" s="82" t="n">
        <x:f>IF(U13&lt;&gt;"Rankeado","",COUNTIFS($U$5:$U$26,"Rankeado",$I$5:$I$26,"&gt;"&amp;I13)+COUNTIFS($U$5:U13,"Rankeado",$I$5:I13,I13))</x:f>
        <x:v>9</x:v>
      </x:c>
      <x:c r="B13" s="82" t="n">
        <x:f>COUNTIF($I$5:$I$26,"&gt;"&amp;I13)+COUNTIF($I$5:I13,I13)</x:f>
        <x:v>12</x:v>
      </x:c>
      <x:c r="C13" s="82" t="str">
        <x:f>IF(I13&gt;=80,"S+",IF(I13&gt;=72,"S",IF(I13&gt;=65,"A",IF(I13&gt;=58,"B",IF(I13&gt;=50,"C",IF(I13&gt;=42,"D","E"))))))</x:f>
        <x:v>C</x:v>
      </x:c>
      <x:c r="D13" s="82" t="str">
        <x:f>IF(AND(U13="Rankeado",A13&lt;=6),"Sim","Não")</x:f>
        <x:v>Não</x:v>
      </x:c>
      <x:c r="E13" s="82" t="n">
        <x:v>77</x:v>
      </x:c>
      <x:c r="F13" s="80" t="str">
        <x:v>Ponyta</x:v>
      </x:c>
      <x:c r="G13" s="82" t="str">
        <x:v>Fogo</x:v>
      </x:c>
      <x:c r="H13" s="82" t="str">
        <x:v>Físico</x:v>
      </x:c>
      <x:c r="I13" s="142" t="n">
        <x:f>ROUND(100*(Metodologia!$B$17*(Q13/Metodologia!$B$22)+Metodologia!$B$18*(R13/Metodologia!$B$23)+Metodologia!$B$19*(S13/Metodologia!$B$24)+Metodologia!$B$20*(P13/Metodologia!$B$25)+Metodologia!$B$21*(J13/Metodologia!$B$26)),2)</x:f>
        <x:v>54.08</x:v>
      </x:c>
      <x:c r="J13" s="82" t="n">
        <x:f>SUM(K13:P13)</x:f>
        <x:v>410</x:v>
      </x:c>
      <x:c r="K13" s="82" t="n">
        <x:v>50</x:v>
      </x:c>
      <x:c r="L13" s="82" t="n">
        <x:v>85</x:v>
      </x:c>
      <x:c r="M13" s="82" t="n">
        <x:v>55</x:v>
      </x:c>
      <x:c r="N13" s="82" t="n">
        <x:v>65</x:v>
      </x:c>
      <x:c r="O13" s="82" t="n">
        <x:v>65</x:v>
      </x:c>
      <x:c r="P13" s="82" t="n">
        <x:v>90</x:v>
      </x:c>
      <x:c r="Q13" s="143" t="n">
        <x:f>MAX(L13,N13)*Metodologia!$B$16</x:f>
        <x:v>110.5</x:v>
      </x:c>
      <x:c r="R13" s="143" t="n">
        <x:f>MIN(L13,N13)*Metodologia!$B$16</x:f>
        <x:v>84.5</x:v>
      </x:c>
      <x:c r="S13" s="143" t="n">
        <x:f>SQRT(K13*AVERAGE(M13,O13)*Metodologia!$B$16)</x:f>
        <x:v>62.44997998398398</x:v>
      </x:c>
      <x:c r="T13" s="82" t="str">
        <x:v>Sim</x:v>
      </x:c>
      <x:c r="U13" s="82" t="str">
        <x:v>Rankeado</x:v>
      </x:c>
      <x:c r="V13" s="82" t="str">
        <x:v>Perfil físico; melhor atributo ofensivo 85, ofensiva secundária 65, robustez relativa 40% e Speed 90. O índice privilegia dano de hunt, sem ignorar sobrevivência.</x:v>
      </x:c>
      <x:c r="W13" s="82" t="str">
        <x:v>Fica atrás de Ninetales principalmente por robustez sustentada 31.5% menor e ofensiva secundária 14.5% menor.</x:v>
      </x:c>
      <x:c r="X13" s="82" t="str">
        <x:v>Fica à frente de Magcargo porque possui velocidade 200.0% maior e ofensiva secundária 30.0% maior.</x:v>
      </x:c>
      <x:c r="Y13" s="154" t="str">
        <x:v>https://poke.idleworld.online/pokepedia/pokemon/ponyta</x:v>
      </x:c>
    </x:row>
    <x:row r="14" ht="48" customHeight="1">
      <x:c r="A14" s="82" t="n">
        <x:f>IF(U14&lt;&gt;"Rankeado","",COUNTIFS($U$5:$U$26,"Rankeado",$I$5:$I$26,"&gt;"&amp;I14)+COUNTIFS($U$5:U14,"Rankeado",$I$5:I14,I14))</x:f>
        <x:v>10</x:v>
      </x:c>
      <x:c r="B14" s="82" t="n">
        <x:f>COUNTIF($I$5:$I$26,"&gt;"&amp;I14)+COUNTIF($I$5:I14,I14)</x:f>
        <x:v>13</x:v>
      </x:c>
      <x:c r="C14" s="82" t="str">
        <x:f>IF(I14&gt;=80,"S+",IF(I14&gt;=72,"S",IF(I14&gt;=65,"A",IF(I14&gt;=58,"B",IF(I14&gt;=50,"C",IF(I14&gt;=42,"D","E"))))))</x:f>
        <x:v>C</x:v>
      </x:c>
      <x:c r="D14" s="82" t="str">
        <x:f>IF(AND(U14="Rankeado",A14&lt;=6),"Sim","Não")</x:f>
        <x:v>Não</x:v>
      </x:c>
      <x:c r="E14" s="82" t="n">
        <x:v>219</x:v>
      </x:c>
      <x:c r="F14" s="80" t="str">
        <x:v>Magcargo</x:v>
      </x:c>
      <x:c r="G14" s="82" t="str">
        <x:v>Fogo / Pedra</x:v>
      </x:c>
      <x:c r="H14" s="82" t="str">
        <x:v>Especial</x:v>
      </x:c>
      <x:c r="I14" s="142" t="n">
        <x:f>ROUND(100*(Metodologia!$B$17*(Q14/Metodologia!$B$22)+Metodologia!$B$18*(R14/Metodologia!$B$23)+Metodologia!$B$19*(S14/Metodologia!$B$24)+Metodologia!$B$20*(P14/Metodologia!$B$25)+Metodologia!$B$21*(J14/Metodologia!$B$26)),2)</x:f>
        <x:v>53.32</x:v>
      </x:c>
      <x:c r="J14" s="82" t="n">
        <x:f>SUM(K14:P14)</x:f>
        <x:v>430</x:v>
      </x:c>
      <x:c r="K14" s="82" t="n">
        <x:v>60</x:v>
      </x:c>
      <x:c r="L14" s="82" t="n">
        <x:v>50</x:v>
      </x:c>
      <x:c r="M14" s="82" t="n">
        <x:v>120</x:v>
      </x:c>
      <x:c r="N14" s="82" t="n">
        <x:v>90</x:v>
      </x:c>
      <x:c r="O14" s="82" t="n">
        <x:v>80</x:v>
      </x:c>
      <x:c r="P14" s="82" t="n">
        <x:v>30</x:v>
      </x:c>
      <x:c r="Q14" s="143" t="n">
        <x:f>MAX(L14,N14)*Metodologia!$B$16</x:f>
        <x:v>117</x:v>
      </x:c>
      <x:c r="R14" s="143" t="n">
        <x:f>MIN(L14,N14)*Metodologia!$B$16</x:f>
        <x:v>65</x:v>
      </x:c>
      <x:c r="S14" s="143" t="n">
        <x:f>SQRT(K14*AVERAGE(M14,O14)*Metodologia!$B$16)</x:f>
        <x:v>88.31760866327846</x:v>
      </x:c>
      <x:c r="T14" s="82" t="str">
        <x:v>Sim</x:v>
      </x:c>
      <x:c r="U14" s="82" t="str">
        <x:v>Rankeado</x:v>
      </x:c>
      <x:c r="V14" s="82" t="str">
        <x:v>Perfil especial; melhor atributo ofensivo 90, ofensiva secundária 50, robustez relativa 57% e Speed 30. O índice privilegia dano de hunt, sem ignorar sobrevivência.</x:v>
      </x:c>
      <x:c r="W14" s="82" t="str">
        <x:v>Fica atrás de Ponyta principalmente por velocidade 66.7% menor e ofensiva secundária 23.1% menor.</x:v>
      </x:c>
      <x:c r="X14" s="82" t="str">
        <x:v>Fica à frente de Charmeleon porque possui teto ofensivo 12.5% maior e robustez sustentada 29.7% maior.</x:v>
      </x:c>
      <x:c r="Y14" s="154" t="str">
        <x:v>https://poke.idleworld.online/pokepedia/pokemon/magcargo</x:v>
      </x:c>
    </x:row>
    <x:row r="15" ht="48" customHeight="1">
      <x:c r="A15" s="82" t="n">
        <x:f>IF(U15&lt;&gt;"Rankeado","",COUNTIFS($U$5:$U$26,"Rankeado",$I$5:$I$26,"&gt;"&amp;I15)+COUNTIFS($U$5:U15,"Rankeado",$I$5:I15,I15))</x:f>
        <x:v>11</x:v>
      </x:c>
      <x:c r="B15" s="82" t="n">
        <x:f>COUNTIF($I$5:$I$26,"&gt;"&amp;I15)+COUNTIF($I$5:I15,I15)</x:f>
        <x:v>14</x:v>
      </x:c>
      <x:c r="C15" s="82" t="str">
        <x:f>IF(I15&gt;=80,"S+",IF(I15&gt;=72,"S",IF(I15&gt;=65,"A",IF(I15&gt;=58,"B",IF(I15&gt;=50,"C",IF(I15&gt;=42,"D","E"))))))</x:f>
        <x:v>C</x:v>
      </x:c>
      <x:c r="D15" s="82" t="str">
        <x:f>IF(AND(U15="Rankeado",A15&lt;=6),"Sim","Não")</x:f>
        <x:v>Não</x:v>
      </x:c>
      <x:c r="E15" s="82" t="n">
        <x:v>5</x:v>
      </x:c>
      <x:c r="F15" s="80" t="str">
        <x:v>Charmeleon</x:v>
      </x:c>
      <x:c r="G15" s="82" t="str">
        <x:v>Fogo</x:v>
      </x:c>
      <x:c r="H15" s="82" t="str">
        <x:v>Especial</x:v>
      </x:c>
      <x:c r="I15" s="142" t="n">
        <x:f>ROUND(100*(Metodologia!$B$17*(Q15/Metodologia!$B$22)+Metodologia!$B$18*(R15/Metodologia!$B$23)+Metodologia!$B$19*(S15/Metodologia!$B$24)+Metodologia!$B$20*(P15/Metodologia!$B$25)+Metodologia!$B$21*(J15/Metodologia!$B$26)),2)</x:f>
        <x:v>51.89</x:v>
      </x:c>
      <x:c r="J15" s="82" t="n">
        <x:f>SUM(K15:P15)</x:f>
        <x:v>405</x:v>
      </x:c>
      <x:c r="K15" s="82" t="n">
        <x:v>58</x:v>
      </x:c>
      <x:c r="L15" s="82" t="n">
        <x:v>64</x:v>
      </x:c>
      <x:c r="M15" s="82" t="n">
        <x:v>58</x:v>
      </x:c>
      <x:c r="N15" s="82" t="n">
        <x:v>80</x:v>
      </x:c>
      <x:c r="O15" s="82" t="n">
        <x:v>65</x:v>
      </x:c>
      <x:c r="P15" s="82" t="n">
        <x:v>80</x:v>
      </x:c>
      <x:c r="Q15" s="143" t="n">
        <x:f>MAX(L15,N15)*Metodologia!$B$16</x:f>
        <x:v>104</x:v>
      </x:c>
      <x:c r="R15" s="143" t="n">
        <x:f>MIN(L15,N15)*Metodologia!$B$16</x:f>
        <x:v>83.2</x:v>
      </x:c>
      <x:c r="S15" s="143" t="n">
        <x:f>SQRT(K15*AVERAGE(M15,O15)*Metodologia!$B$16)</x:f>
        <x:v>68.09625540365637</x:v>
      </x:c>
      <x:c r="T15" s="82" t="str">
        <x:v>Sim</x:v>
      </x:c>
      <x:c r="U15" s="82" t="str">
        <x:v>Rankeado</x:v>
      </x:c>
      <x:c r="V15" s="82" t="str">
        <x:v>Perfil especial; melhor atributo ofensivo 80, ofensiva secundária 64, robustez relativa 44% e Speed 80. O índice privilegia dano de hunt, sem ignorar sobrevivência.</x:v>
      </x:c>
      <x:c r="W15" s="82" t="str">
        <x:v>Fica atrás de Magcargo principalmente por teto ofensivo 11.1% menor e robustez sustentada 22.9% menor.</x:v>
      </x:c>
      <x:c r="X15" s="82" t="str">
        <x:v>Fica à frente de Quilava apenas pelo desempate técnico do modelo.</x:v>
      </x:c>
      <x:c r="Y15" s="154" t="str">
        <x:v>https://poke.idleworld.online/pokepedia/pokemon/charmeleon</x:v>
      </x:c>
    </x:row>
    <x:row r="16" ht="48" customHeight="1">
      <x:c r="A16" s="82" t="n">
        <x:f>IF(U16&lt;&gt;"Rankeado","",COUNTIFS($U$5:$U$26,"Rankeado",$I$5:$I$26,"&gt;"&amp;I16)+COUNTIFS($U$5:U16,"Rankeado",$I$5:I16,I16))</x:f>
        <x:v>12</x:v>
      </x:c>
      <x:c r="B16" s="82" t="n">
        <x:f>COUNTIF($I$5:$I$26,"&gt;"&amp;I16)+COUNTIF($I$5:I16,I16)</x:f>
        <x:v>15</x:v>
      </x:c>
      <x:c r="C16" s="82" t="str">
        <x:f>IF(I16&gt;=80,"S+",IF(I16&gt;=72,"S",IF(I16&gt;=65,"A",IF(I16&gt;=58,"B",IF(I16&gt;=50,"C",IF(I16&gt;=42,"D","E"))))))</x:f>
        <x:v>C</x:v>
      </x:c>
      <x:c r="D16" s="82" t="str">
        <x:f>IF(AND(U16="Rankeado",A16&lt;=6),"Sim","Não")</x:f>
        <x:v>Não</x:v>
      </x:c>
      <x:c r="E16" s="82" t="n">
        <x:v>156</x:v>
      </x:c>
      <x:c r="F16" s="80" t="str">
        <x:v>Quilava</x:v>
      </x:c>
      <x:c r="G16" s="82" t="str">
        <x:v>Fogo</x:v>
      </x:c>
      <x:c r="H16" s="82" t="str">
        <x:v>Especial</x:v>
      </x:c>
      <x:c r="I16" s="142" t="n">
        <x:f>ROUND(100*(Metodologia!$B$17*(Q16/Metodologia!$B$22)+Metodologia!$B$18*(R16/Metodologia!$B$23)+Metodologia!$B$19*(S16/Metodologia!$B$24)+Metodologia!$B$20*(P16/Metodologia!$B$25)+Metodologia!$B$21*(J16/Metodologia!$B$26)),2)</x:f>
        <x:v>51.89</x:v>
      </x:c>
      <x:c r="J16" s="82" t="n">
        <x:f>SUM(K16:P16)</x:f>
        <x:v>405</x:v>
      </x:c>
      <x:c r="K16" s="82" t="n">
        <x:v>58</x:v>
      </x:c>
      <x:c r="L16" s="82" t="n">
        <x:v>64</x:v>
      </x:c>
      <x:c r="M16" s="82" t="n">
        <x:v>58</x:v>
      </x:c>
      <x:c r="N16" s="82" t="n">
        <x:v>80</x:v>
      </x:c>
      <x:c r="O16" s="82" t="n">
        <x:v>65</x:v>
      </x:c>
      <x:c r="P16" s="82" t="n">
        <x:v>80</x:v>
      </x:c>
      <x:c r="Q16" s="143" t="n">
        <x:f>MAX(L16,N16)*Metodologia!$B$16</x:f>
        <x:v>104</x:v>
      </x:c>
      <x:c r="R16" s="143" t="n">
        <x:f>MIN(L16,N16)*Metodologia!$B$16</x:f>
        <x:v>83.2</x:v>
      </x:c>
      <x:c r="S16" s="143" t="n">
        <x:f>SQRT(K16*AVERAGE(M16,O16)*Metodologia!$B$16)</x:f>
        <x:v>68.09625540365637</x:v>
      </x:c>
      <x:c r="T16" s="82" t="str">
        <x:v>Sim</x:v>
      </x:c>
      <x:c r="U16" s="82" t="str">
        <x:v>Rankeado</x:v>
      </x:c>
      <x:c r="V16" s="82" t="str">
        <x:v>Perfil especial; melhor atributo ofensivo 80, ofensiva secundária 64, robustez relativa 44% e Speed 80. O índice privilegia dano de hunt, sem ignorar sobrevivência.</x:v>
      </x:c>
      <x:c r="W16" s="82" t="str">
        <x:v>Fica atrás de Charmeleon apenas pelo desempate técnico do modelo.</x:v>
      </x:c>
      <x:c r="X16" s="82" t="str">
        <x:v>Fica à frente de Magby porque possui teto ofensivo 6.7% maior e robustez sustentada 31.3% maior.</x:v>
      </x:c>
      <x:c r="Y16" s="154" t="str">
        <x:v>https://poke.idleworld.online/pokepedia/pokemon/quilava</x:v>
      </x:c>
    </x:row>
    <x:row r="17" ht="48" customHeight="1">
      <x:c r="A17" s="82" t="n">
        <x:f>IF(U17&lt;&gt;"Rankeado","",COUNTIFS($U$5:$U$26,"Rankeado",$I$5:$I$26,"&gt;"&amp;I17)+COUNTIFS($U$5:U17,"Rankeado",$I$5:I17,I17))</x:f>
        <x:v>13</x:v>
      </x:c>
      <x:c r="B17" s="82" t="n">
        <x:f>COUNTIF($I$5:$I$26,"&gt;"&amp;I17)+COUNTIF($I$5:I17,I17)</x:f>
        <x:v>16</x:v>
      </x:c>
      <x:c r="C17" s="82" t="str">
        <x:f>IF(I17&gt;=80,"S+",IF(I17&gt;=72,"S",IF(I17&gt;=65,"A",IF(I17&gt;=58,"B",IF(I17&gt;=50,"C",IF(I17&gt;=42,"D","E"))))))</x:f>
        <x:v>D</x:v>
      </x:c>
      <x:c r="D17" s="82" t="str">
        <x:f>IF(AND(U17="Rankeado",A17&lt;=6),"Sim","Não")</x:f>
        <x:v>Não</x:v>
      </x:c>
      <x:c r="E17" s="82" t="n">
        <x:v>240</x:v>
      </x:c>
      <x:c r="F17" s="80" t="str">
        <x:v>Magby</x:v>
      </x:c>
      <x:c r="G17" s="82" t="str">
        <x:v>Fogo</x:v>
      </x:c>
      <x:c r="H17" s="82" t="str">
        <x:v>Misto</x:v>
      </x:c>
      <x:c r="I17" s="142" t="n">
        <x:f>ROUND(100*(Metodologia!$B$17*(Q17/Metodologia!$B$22)+Metodologia!$B$18*(R17/Metodologia!$B$23)+Metodologia!$B$19*(S17/Metodologia!$B$24)+Metodologia!$B$20*(P17/Metodologia!$B$25)+Metodologia!$B$21*(J17/Metodologia!$B$26)),2)</x:f>
        <x:v>48.82</x:v>
      </x:c>
      <x:c r="J17" s="82" t="n">
        <x:f>SUM(K17:P17)</x:f>
        <x:v>365</x:v>
      </x:c>
      <x:c r="K17" s="82" t="n">
        <x:v>45</x:v>
      </x:c>
      <x:c r="L17" s="82" t="n">
        <x:v>75</x:v>
      </x:c>
      <x:c r="M17" s="82" t="n">
        <x:v>37</x:v>
      </x:c>
      <x:c r="N17" s="82" t="n">
        <x:v>70</x:v>
      </x:c>
      <x:c r="O17" s="82" t="n">
        <x:v>55</x:v>
      </x:c>
      <x:c r="P17" s="82" t="n">
        <x:v>83</x:v>
      </x:c>
      <x:c r="Q17" s="143" t="n">
        <x:f>MAX(L17,N17)*Metodologia!$B$16</x:f>
        <x:v>97.5</x:v>
      </x:c>
      <x:c r="R17" s="143" t="n">
        <x:f>MIN(L17,N17)*Metodologia!$B$16</x:f>
        <x:v>91</x:v>
      </x:c>
      <x:c r="S17" s="143" t="n">
        <x:f>SQRT(K17*AVERAGE(M17,O17)*Metodologia!$B$16)</x:f>
        <x:v>51.87484939737175</x:v>
      </x:c>
      <x:c r="T17" s="82" t="str">
        <x:v>Sim</x:v>
      </x:c>
      <x:c r="U17" s="82" t="str">
        <x:v>Rankeado</x:v>
      </x:c>
      <x:c r="V17" s="82" t="str">
        <x:v>Perfil misto; melhor atributo ofensivo 75, ofensiva secundária 70, robustez relativa 33% e Speed 83. O índice privilegia dano de hunt, sem ignorar sobrevivência.</x:v>
      </x:c>
      <x:c r="W17" s="82" t="str">
        <x:v>Fica atrás de Quilava principalmente por teto ofensivo 6.2% menor e robustez sustentada 23.8% menor.</x:v>
      </x:c>
      <x:c r="X17" s="82" t="str">
        <x:v>Fica à frente de Houndour porque possui velocidade 27.7% maior e ofensiva secundária 16.7% maior.</x:v>
      </x:c>
      <x:c r="Y17" s="154" t="str">
        <x:v>https://poke.idleworld.online/pokepedia/pokemon/magby</x:v>
      </x:c>
    </x:row>
    <x:row r="18" ht="48" customHeight="1">
      <x:c r="A18" s="82" t="n">
        <x:f>IF(U18&lt;&gt;"Rankeado","",COUNTIFS($U$5:$U$26,"Rankeado",$I$5:$I$26,"&gt;"&amp;I18)+COUNTIFS($U$5:U18,"Rankeado",$I$5:I18,I18))</x:f>
        <x:v>14</x:v>
      </x:c>
      <x:c r="B18" s="82" t="n">
        <x:f>COUNTIF($I$5:$I$26,"&gt;"&amp;I18)+COUNTIF($I$5:I18,I18)</x:f>
        <x:v>17</x:v>
      </x:c>
      <x:c r="C18" s="82" t="str">
        <x:f>IF(I18&gt;=80,"S+",IF(I18&gt;=72,"S",IF(I18&gt;=65,"A",IF(I18&gt;=58,"B",IF(I18&gt;=50,"C",IF(I18&gt;=42,"D","E"))))))</x:f>
        <x:v>D</x:v>
      </x:c>
      <x:c r="D18" s="82" t="str">
        <x:f>IF(AND(U18="Rankeado",A18&lt;=6),"Sim","Não")</x:f>
        <x:v>Não</x:v>
      </x:c>
      <x:c r="E18" s="82" t="n">
        <x:v>228</x:v>
      </x:c>
      <x:c r="F18" s="80" t="str">
        <x:v>Houndour</x:v>
      </x:c>
      <x:c r="G18" s="82" t="str">
        <x:v>Sombrio / Fogo</x:v>
      </x:c>
      <x:c r="H18" s="82" t="str">
        <x:v>Especial</x:v>
      </x:c>
      <x:c r="I18" s="142" t="n">
        <x:f>ROUND(100*(Metodologia!$B$17*(Q18/Metodologia!$B$22)+Metodologia!$B$18*(R18/Metodologia!$B$23)+Metodologia!$B$19*(S18/Metodologia!$B$24)+Metodologia!$B$20*(P18/Metodologia!$B$25)+Metodologia!$B$21*(J18/Metodologia!$B$26)),2)</x:f>
        <x:v>48.06</x:v>
      </x:c>
      <x:c r="J18" s="82" t="n">
        <x:f>SUM(K18:P18)</x:f>
        <x:v>330</x:v>
      </x:c>
      <x:c r="K18" s="82" t="n">
        <x:v>45</x:v>
      </x:c>
      <x:c r="L18" s="82" t="n">
        <x:v>60</x:v>
      </x:c>
      <x:c r="M18" s="82" t="n">
        <x:v>30</x:v>
      </x:c>
      <x:c r="N18" s="82" t="n">
        <x:v>80</x:v>
      </x:c>
      <x:c r="O18" s="82" t="n">
        <x:v>50</x:v>
      </x:c>
      <x:c r="P18" s="82" t="n">
        <x:v>65</x:v>
      </x:c>
      <x:c r="Q18" s="143" t="n">
        <x:f>MAX(L18,N18)*Metodologia!$B$16</x:f>
        <x:v>104</x:v>
      </x:c>
      <x:c r="R18" s="143" t="n">
        <x:f>MIN(L18,N18)*Metodologia!$B$16</x:f>
        <x:v>78</x:v>
      </x:c>
      <x:c r="S18" s="143" t="n">
        <x:f>SQRT(K18*AVERAGE(M18,O18)*Metodologia!$B$16)</x:f>
        <x:v>48.373546489791295</x:v>
      </x:c>
      <x:c r="T18" s="82" t="str">
        <x:v>Sim</x:v>
      </x:c>
      <x:c r="U18" s="82" t="str">
        <x:v>Rankeado</x:v>
      </x:c>
      <x:c r="V18" s="82" t="str">
        <x:v>Perfil especial; melhor atributo ofensivo 80, ofensiva secundária 60, robustez relativa 31% e Speed 65. O índice privilegia dano de hunt, sem ignorar sobrevivência.</x:v>
      </x:c>
      <x:c r="W18" s="82" t="str">
        <x:v>Fica atrás de Magby principalmente por velocidade 21.7% menor e ofensiva secundária 14.3% menor.</x:v>
      </x:c>
      <x:c r="X18" s="82" t="str">
        <x:v>Fica à frente de Growlithe porque possui teto ofensivo 14.3% maior e velocidade 8.3% maior.</x:v>
      </x:c>
      <x:c r="Y18" s="154" t="str">
        <x:v>https://poke.idleworld.online/pokepedia/pokemon/houndour</x:v>
      </x:c>
    </x:row>
    <x:row r="19" ht="48" customHeight="1">
      <x:c r="A19" s="82" t="n">
        <x:f>IF(U19&lt;&gt;"Rankeado","",COUNTIFS($U$5:$U$26,"Rankeado",$I$5:$I$26,"&gt;"&amp;I19)+COUNTIFS($U$5:U19,"Rankeado",$I$5:I19,I19))</x:f>
        <x:v>15</x:v>
      </x:c>
      <x:c r="B19" s="82" t="n">
        <x:f>COUNTIF($I$5:$I$26,"&gt;"&amp;I19)+COUNTIF($I$5:I19,I19)</x:f>
        <x:v>18</x:v>
      </x:c>
      <x:c r="C19" s="82" t="str">
        <x:f>IF(I19&gt;=80,"S+",IF(I19&gt;=72,"S",IF(I19&gt;=65,"A",IF(I19&gt;=58,"B",IF(I19&gt;=50,"C",IF(I19&gt;=42,"D","E"))))))</x:f>
        <x:v>D</x:v>
      </x:c>
      <x:c r="D19" s="82" t="str">
        <x:f>IF(AND(U19="Rankeado",A19&lt;=6),"Sim","Não")</x:f>
        <x:v>Não</x:v>
      </x:c>
      <x:c r="E19" s="82" t="n">
        <x:v>58</x:v>
      </x:c>
      <x:c r="F19" s="80" t="str">
        <x:v>Growlithe</x:v>
      </x:c>
      <x:c r="G19" s="82" t="str">
        <x:v>Fogo</x:v>
      </x:c>
      <x:c r="H19" s="82" t="str">
        <x:v>Misto</x:v>
      </x:c>
      <x:c r="I19" s="142" t="n">
        <x:f>ROUND(100*(Metodologia!$B$17*(Q19/Metodologia!$B$22)+Metodologia!$B$18*(R19/Metodologia!$B$23)+Metodologia!$B$19*(S19/Metodologia!$B$24)+Metodologia!$B$20*(P19/Metodologia!$B$25)+Metodologia!$B$21*(J19/Metodologia!$B$26)),2)</x:f>
        <x:v>45.85</x:v>
      </x:c>
      <x:c r="J19" s="82" t="n">
        <x:f>SUM(K19:P19)</x:f>
        <x:v>350</x:v>
      </x:c>
      <x:c r="K19" s="82" t="n">
        <x:v>55</x:v>
      </x:c>
      <x:c r="L19" s="82" t="n">
        <x:v>70</x:v>
      </x:c>
      <x:c r="M19" s="82" t="n">
        <x:v>45</x:v>
      </x:c>
      <x:c r="N19" s="82" t="n">
        <x:v>70</x:v>
      </x:c>
      <x:c r="O19" s="82" t="n">
        <x:v>50</x:v>
      </x:c>
      <x:c r="P19" s="82" t="n">
        <x:v>60</x:v>
      </x:c>
      <x:c r="Q19" s="143" t="n">
        <x:f>MAX(L19,N19)*Metodologia!$B$16</x:f>
        <x:v>91</x:v>
      </x:c>
      <x:c r="R19" s="143" t="n">
        <x:f>MIN(L19,N19)*Metodologia!$B$16</x:f>
        <x:v>91</x:v>
      </x:c>
      <x:c r="S19" s="143" t="n">
        <x:f>SQRT(K19*AVERAGE(M19,O19)*Metodologia!$B$16)</x:f>
        <x:v>58.27735409230587</x:v>
      </x:c>
      <x:c r="T19" s="82" t="str">
        <x:v>Sim</x:v>
      </x:c>
      <x:c r="U19" s="82" t="str">
        <x:v>Rankeado</x:v>
      </x:c>
      <x:c r="V19" s="82" t="str">
        <x:v>Perfil misto; melhor atributo ofensivo 70, ofensiva secundária 70, robustez relativa 38% e Speed 60. O índice privilegia dano de hunt, sem ignorar sobrevivência.</x:v>
      </x:c>
      <x:c r="W19" s="82" t="str">
        <x:v>Fica atrás de Houndour principalmente por teto ofensivo 12.5% menor e velocidade 7.7% menor.</x:v>
      </x:c>
      <x:c r="X19" s="82" t="str">
        <x:v>Fica à frente de Charmander porque possui teto ofensivo 16.7% maior e ofensiva secundária 34.6% maior.</x:v>
      </x:c>
      <x:c r="Y19" s="154" t="str">
        <x:v>https://poke.idleworld.online/pokepedia/pokemon/growlithe</x:v>
      </x:c>
    </x:row>
    <x:row r="20" ht="48" customHeight="1">
      <x:c r="A20" s="82" t="n">
        <x:f>IF(U20&lt;&gt;"Rankeado","",COUNTIFS($U$5:$U$26,"Rankeado",$I$5:$I$26,"&gt;"&amp;I20)+COUNTIFS($U$5:U20,"Rankeado",$I$5:I20,I20))</x:f>
        <x:v>16</x:v>
      </x:c>
      <x:c r="B20" s="82" t="n">
        <x:f>COUNTIF($I$5:$I$26,"&gt;"&amp;I20)+COUNTIF($I$5:I20,I20)</x:f>
        <x:v>19</x:v>
      </x:c>
      <x:c r="C20" s="82" t="str">
        <x:f>IF(I20&gt;=80,"S+",IF(I20&gt;=72,"S",IF(I20&gt;=65,"A",IF(I20&gt;=58,"B",IF(I20&gt;=50,"C",IF(I20&gt;=42,"D","E"))))))</x:f>
        <x:v>E</x:v>
      </x:c>
      <x:c r="D20" s="82" t="str">
        <x:f>IF(AND(U20="Rankeado",A20&lt;=6),"Sim","Não")</x:f>
        <x:v>Não</x:v>
      </x:c>
      <x:c r="E20" s="82" t="n">
        <x:v>4</x:v>
      </x:c>
      <x:c r="F20" s="80" t="str">
        <x:v>Charmander</x:v>
      </x:c>
      <x:c r="G20" s="82" t="str">
        <x:v>Fogo</x:v>
      </x:c>
      <x:c r="H20" s="82" t="str">
        <x:v>Misto</x:v>
      </x:c>
      <x:c r="I20" s="142" t="n">
        <x:f>ROUND(100*(Metodologia!$B$17*(Q20/Metodologia!$B$22)+Metodologia!$B$18*(R20/Metodologia!$B$23)+Metodologia!$B$19*(S20/Metodologia!$B$24)+Metodologia!$B$20*(P20/Metodologia!$B$25)+Metodologia!$B$21*(J20/Metodologia!$B$26)),2)</x:f>
        <x:v>39.41</x:v>
      </x:c>
      <x:c r="J20" s="82" t="n">
        <x:f>SUM(K20:P20)</x:f>
        <x:v>309</x:v>
      </x:c>
      <x:c r="K20" s="82" t="n">
        <x:v>39</x:v>
      </x:c>
      <x:c r="L20" s="82" t="n">
        <x:v>52</x:v>
      </x:c>
      <x:c r="M20" s="82" t="n">
        <x:v>43</x:v>
      </x:c>
      <x:c r="N20" s="82" t="n">
        <x:v>60</x:v>
      </x:c>
      <x:c r="O20" s="82" t="n">
        <x:v>50</x:v>
      </x:c>
      <x:c r="P20" s="82" t="n">
        <x:v>65</x:v>
      </x:c>
      <x:c r="Q20" s="143" t="n">
        <x:f>MAX(L20,N20)*Metodologia!$B$16</x:f>
        <x:v>78</x:v>
      </x:c>
      <x:c r="R20" s="143" t="n">
        <x:f>MIN(L20,N20)*Metodologia!$B$16</x:f>
        <x:v>67.60000000000001</x:v>
      </x:c>
      <x:c r="S20" s="143" t="n">
        <x:f>SQRT(K20*AVERAGE(M20,O20)*Metodologia!$B$16)</x:f>
        <x:v>48.55460843215606</x:v>
      </x:c>
      <x:c r="T20" s="82" t="str">
        <x:v>Sim</x:v>
      </x:c>
      <x:c r="U20" s="82" t="str">
        <x:v>Rankeado</x:v>
      </x:c>
      <x:c r="V20" s="82" t="str">
        <x:v>Perfil misto; melhor atributo ofensivo 60, ofensiva secundária 52, robustez relativa 31% e Speed 65. O índice privilegia dano de hunt, sem ignorar sobrevivência.</x:v>
      </x:c>
      <x:c r="W20" s="82" t="str">
        <x:v>Fica atrás de Growlithe principalmente por teto ofensivo 14.3% menor e ofensiva secundária 25.7% menor.</x:v>
      </x:c>
      <x:c r="X20" s="82" t="str">
        <x:v>Fica à frente de Cyndaquil apenas pelo desempate técnico do modelo.</x:v>
      </x:c>
      <x:c r="Y20" s="154" t="str">
        <x:v>https://poke.idleworld.online/pokepedia/pokemon/charmander</x:v>
      </x:c>
    </x:row>
    <x:row r="21" ht="48" customHeight="1">
      <x:c r="A21" s="82" t="n">
        <x:f>IF(U21&lt;&gt;"Rankeado","",COUNTIFS($U$5:$U$26,"Rankeado",$I$5:$I$26,"&gt;"&amp;I21)+COUNTIFS($U$5:U21,"Rankeado",$I$5:I21,I21))</x:f>
        <x:v>17</x:v>
      </x:c>
      <x:c r="B21" s="82" t="n">
        <x:f>COUNTIF($I$5:$I$26,"&gt;"&amp;I21)+COUNTIF($I$5:I21,I21)</x:f>
        <x:v>20</x:v>
      </x:c>
      <x:c r="C21" s="82" t="str">
        <x:f>IF(I21&gt;=80,"S+",IF(I21&gt;=72,"S",IF(I21&gt;=65,"A",IF(I21&gt;=58,"B",IF(I21&gt;=50,"C",IF(I21&gt;=42,"D","E"))))))</x:f>
        <x:v>E</x:v>
      </x:c>
      <x:c r="D21" s="82" t="str">
        <x:f>IF(AND(U21="Rankeado",A21&lt;=6),"Sim","Não")</x:f>
        <x:v>Não</x:v>
      </x:c>
      <x:c r="E21" s="82" t="n">
        <x:v>155</x:v>
      </x:c>
      <x:c r="F21" s="80" t="str">
        <x:v>Cyndaquil</x:v>
      </x:c>
      <x:c r="G21" s="82" t="str">
        <x:v>Fogo</x:v>
      </x:c>
      <x:c r="H21" s="82" t="str">
        <x:v>Misto</x:v>
      </x:c>
      <x:c r="I21" s="142" t="n">
        <x:f>ROUND(100*(Metodologia!$B$17*(Q21/Metodologia!$B$22)+Metodologia!$B$18*(R21/Metodologia!$B$23)+Metodologia!$B$19*(S21/Metodologia!$B$24)+Metodologia!$B$20*(P21/Metodologia!$B$25)+Metodologia!$B$21*(J21/Metodologia!$B$26)),2)</x:f>
        <x:v>39.41</x:v>
      </x:c>
      <x:c r="J21" s="82" t="n">
        <x:f>SUM(K21:P21)</x:f>
        <x:v>309</x:v>
      </x:c>
      <x:c r="K21" s="82" t="n">
        <x:v>39</x:v>
      </x:c>
      <x:c r="L21" s="82" t="n">
        <x:v>52</x:v>
      </x:c>
      <x:c r="M21" s="82" t="n">
        <x:v>43</x:v>
      </x:c>
      <x:c r="N21" s="82" t="n">
        <x:v>60</x:v>
      </x:c>
      <x:c r="O21" s="82" t="n">
        <x:v>50</x:v>
      </x:c>
      <x:c r="P21" s="82" t="n">
        <x:v>65</x:v>
      </x:c>
      <x:c r="Q21" s="143" t="n">
        <x:f>MAX(L21,N21)*Metodologia!$B$16</x:f>
        <x:v>78</x:v>
      </x:c>
      <x:c r="R21" s="143" t="n">
        <x:f>MIN(L21,N21)*Metodologia!$B$16</x:f>
        <x:v>67.60000000000001</x:v>
      </x:c>
      <x:c r="S21" s="143" t="n">
        <x:f>SQRT(K21*AVERAGE(M21,O21)*Metodologia!$B$16)</x:f>
        <x:v>48.55460843215606</x:v>
      </x:c>
      <x:c r="T21" s="82" t="str">
        <x:v>Sim</x:v>
      </x:c>
      <x:c r="U21" s="82" t="str">
        <x:v>Rankeado</x:v>
      </x:c>
      <x:c r="V21" s="82" t="str">
        <x:v>Perfil misto; melhor atributo ofensivo 60, ofensiva secundária 52, robustez relativa 31% e Speed 65. O índice privilegia dano de hunt, sem ignorar sobrevivência.</x:v>
      </x:c>
      <x:c r="W21" s="82" t="str">
        <x:v>Fica atrás de Charmander apenas pelo desempate técnico do modelo.</x:v>
      </x:c>
      <x:c r="X21" s="82" t="str">
        <x:v>Fica à frente de Slugma porque possui velocidade 225.0% maior e ofensiva secundária 30.0% maior.</x:v>
      </x:c>
      <x:c r="Y21" s="154" t="str">
        <x:v>https://poke.idleworld.online/pokepedia/pokemon/cyndaquil</x:v>
      </x:c>
    </x:row>
    <x:row r="22" ht="48" customHeight="1">
      <x:c r="A22" s="82" t="n">
        <x:f>IF(U22&lt;&gt;"Rankeado","",COUNTIFS($U$5:$U$26,"Rankeado",$I$5:$I$26,"&gt;"&amp;I22)+COUNTIFS($U$5:U22,"Rankeado",$I$5:I22,I22))</x:f>
        <x:v>18</x:v>
      </x:c>
      <x:c r="B22" s="82" t="n">
        <x:f>COUNTIF($I$5:$I$26,"&gt;"&amp;I22)+COUNTIF($I$5:I22,I22)</x:f>
        <x:v>21</x:v>
      </x:c>
      <x:c r="C22" s="82" t="str">
        <x:f>IF(I22&gt;=80,"S+",IF(I22&gt;=72,"S",IF(I22&gt;=65,"A",IF(I22&gt;=58,"B",IF(I22&gt;=50,"C",IF(I22&gt;=42,"D","E"))))))</x:f>
        <x:v>E</x:v>
      </x:c>
      <x:c r="D22" s="82" t="str">
        <x:f>IF(AND(U22="Rankeado",A22&lt;=6),"Sim","Não")</x:f>
        <x:v>Não</x:v>
      </x:c>
      <x:c r="E22" s="82" t="n">
        <x:v>218</x:v>
      </x:c>
      <x:c r="F22" s="80" t="str">
        <x:v>Slugma</x:v>
      </x:c>
      <x:c r="G22" s="82" t="str">
        <x:v>Fogo</x:v>
      </x:c>
      <x:c r="H22" s="82" t="str">
        <x:v>Especial</x:v>
      </x:c>
      <x:c r="I22" s="142" t="n">
        <x:f>ROUND(100*(Metodologia!$B$17*(Q22/Metodologia!$B$22)+Metodologia!$B$18*(R22/Metodologia!$B$23)+Metodologia!$B$19*(S22/Metodologia!$B$24)+Metodologia!$B$20*(P22/Metodologia!$B$25)+Metodologia!$B$21*(J22/Metodologia!$B$26)),2)</x:f>
        <x:v>38.49</x:v>
      </x:c>
      <x:c r="J22" s="82" t="n">
        <x:f>SUM(K22:P22)</x:f>
        <x:v>250</x:v>
      </x:c>
      <x:c r="K22" s="82" t="n">
        <x:v>40</x:v>
      </x:c>
      <x:c r="L22" s="82" t="n">
        <x:v>40</x:v>
      </x:c>
      <x:c r="M22" s="82" t="n">
        <x:v>40</x:v>
      </x:c>
      <x:c r="N22" s="82" t="n">
        <x:v>70</x:v>
      </x:c>
      <x:c r="O22" s="82" t="n">
        <x:v>40</x:v>
      </x:c>
      <x:c r="P22" s="82" t="n">
        <x:v>20</x:v>
      </x:c>
      <x:c r="Q22" s="143" t="n">
        <x:f>MAX(L22,N22)*Metodologia!$B$16</x:f>
        <x:v>91</x:v>
      </x:c>
      <x:c r="R22" s="143" t="n">
        <x:f>MIN(L22,N22)*Metodologia!$B$16</x:f>
        <x:v>52</x:v>
      </x:c>
      <x:c r="S22" s="143" t="n">
        <x:f>SQRT(K22*AVERAGE(M22,O22)*Metodologia!$B$16)</x:f>
        <x:v>45.60701700396552</x:v>
      </x:c>
      <x:c r="T22" s="82" t="str">
        <x:v>Sim</x:v>
      </x:c>
      <x:c r="U22" s="82" t="str">
        <x:v>Rankeado</x:v>
      </x:c>
      <x:c r="V22" s="82" t="str">
        <x:v>Perfil especial; melhor atributo ofensivo 70, ofensiva secundária 40, robustez relativa 29% e Speed 20. O índice privilegia dano de hunt, sem ignorar sobrevivência.</x:v>
      </x:c>
      <x:c r="W22" s="82" t="str">
        <x:v>Fica atrás de Cyndaquil principalmente por velocidade 69.2% menor e ofensiva secundária 23.1% menor.</x:v>
      </x:c>
      <x:c r="X22" s="82" t="str">
        <x:v>Fica à frente de Vulpix porque possui teto ofensivo 40.0% maior.</x:v>
      </x:c>
      <x:c r="Y22" s="154" t="str">
        <x:v>https://poke.idleworld.online/pokepedia/pokemon/slugma</x:v>
      </x:c>
    </x:row>
    <x:row r="23" ht="48" customHeight="1">
      <x:c r="A23" s="82" t="n">
        <x:f>IF(U23&lt;&gt;"Rankeado","",COUNTIFS($U$5:$U$26,"Rankeado",$I$5:$I$26,"&gt;"&amp;I23)+COUNTIFS($U$5:U23,"Rankeado",$I$5:I23,I23))</x:f>
        <x:v>19</x:v>
      </x:c>
      <x:c r="B23" s="82" t="n">
        <x:f>COUNTIF($I$5:$I$26,"&gt;"&amp;I23)+COUNTIF($I$5:I23,I23)</x:f>
        <x:v>22</x:v>
      </x:c>
      <x:c r="C23" s="82" t="str">
        <x:f>IF(I23&gt;=80,"S+",IF(I23&gt;=72,"S",IF(I23&gt;=65,"A",IF(I23&gt;=58,"B",IF(I23&gt;=50,"C",IF(I23&gt;=42,"D","E"))))))</x:f>
        <x:v>E</x:v>
      </x:c>
      <x:c r="D23" s="82" t="str">
        <x:f>IF(AND(U23="Rankeado",A23&lt;=6),"Sim","Não")</x:f>
        <x:v>Não</x:v>
      </x:c>
      <x:c r="E23" s="82" t="n">
        <x:v>37</x:v>
      </x:c>
      <x:c r="F23" s="80" t="str">
        <x:v>Vulpix</x:v>
      </x:c>
      <x:c r="G23" s="82" t="str">
        <x:v>Fogo</x:v>
      </x:c>
      <x:c r="H23" s="82" t="str">
        <x:v>Misto</x:v>
      </x:c>
      <x:c r="I23" s="142" t="n">
        <x:f>ROUND(100*(Metodologia!$B$17*(Q23/Metodologia!$B$22)+Metodologia!$B$18*(R23/Metodologia!$B$23)+Metodologia!$B$19*(S23/Metodologia!$B$24)+Metodologia!$B$20*(P23/Metodologia!$B$25)+Metodologia!$B$21*(J23/Metodologia!$B$26)),2)</x:f>
        <x:v>34.67</x:v>
      </x:c>
      <x:c r="J23" s="82" t="n">
        <x:f>SUM(K23:P23)</x:f>
        <x:v>299</x:v>
      </x:c>
      <x:c r="K23" s="82" t="n">
        <x:v>38</x:v>
      </x:c>
      <x:c r="L23" s="82" t="n">
        <x:v>41</x:v>
      </x:c>
      <x:c r="M23" s="82" t="n">
        <x:v>40</x:v>
      </x:c>
      <x:c r="N23" s="82" t="n">
        <x:v>50</x:v>
      </x:c>
      <x:c r="O23" s="82" t="n">
        <x:v>65</x:v>
      </x:c>
      <x:c r="P23" s="82" t="n">
        <x:v>65</x:v>
      </x:c>
      <x:c r="Q23" s="143" t="n">
        <x:f>MAX(L23,N23)*Metodologia!$B$16</x:f>
        <x:v>65</x:v>
      </x:c>
      <x:c r="R23" s="143" t="n">
        <x:f>MIN(L23,N23)*Metodologia!$B$16</x:f>
        <x:v>53.300000000000004</x:v>
      </x:c>
      <x:c r="S23" s="143" t="n">
        <x:f>SQRT(K23*AVERAGE(M23,O23)*Metodologia!$B$16)</x:f>
        <x:v>50.926417506044935</x:v>
      </x:c>
      <x:c r="T23" s="82" t="str">
        <x:v>Sim</x:v>
      </x:c>
      <x:c r="U23" s="82" t="str">
        <x:v>Rankeado</x:v>
      </x:c>
      <x:c r="V23" s="82" t="str">
        <x:v>Perfil misto; melhor atributo ofensivo 50, ofensiva secundária 41, robustez relativa 33% e Speed 65. O índice privilegia dano de hunt, sem ignorar sobrevivência.</x:v>
      </x:c>
      <x:c r="W23" s="82" t="str">
        <x:v>Fica atrás de Slugma principalmente por teto ofensivo 28.6% menor.</x:v>
      </x:c>
      <x:c r="X23" s="82" t="str">
        <x:v>É o último utilizável deste clã.</x:v>
      </x:c>
      <x:c r="Y23" s="154" t="str">
        <x:v>https://poke.idleworld.online/pokepedia/pokemon/vulpix</x:v>
      </x:c>
    </x:row>
    <x:row r="24" ht="48" customHeight="1">
      <x:c r="A24" s="82" t="str">
        <x:f>IF(U24&lt;&gt;"Rankeado","",COUNTIFS($U$5:$U$26,"Rankeado",$I$5:$I$26,"&gt;"&amp;I24)+COUNTIFS($U$5:U24,"Rankeado",$I$5:I24,I24))</x:f>
      </x:c>
      <x:c r="B24" s="82" t="n">
        <x:f>COUNTIF($I$5:$I$26,"&gt;"&amp;I24)+COUNTIF($I$5:I24,I24)</x:f>
        <x:v>1</x:v>
      </x:c>
      <x:c r="C24" s="82" t="str">
        <x:f>IF(I24&gt;=80,"S+",IF(I24&gt;=72,"S",IF(I24&gt;=65,"A",IF(I24&gt;=58,"B",IF(I24&gt;=50,"C",IF(I24&gt;=42,"D","E"))))))</x:f>
        <x:v>S+</x:v>
      </x:c>
      <x:c r="D24" s="82" t="str">
        <x:f>IF(AND(U24="Rankeado",A24&lt;=6),"Sim","Não")</x:f>
        <x:v>Não</x:v>
      </x:c>
      <x:c r="E24" s="82" t="n">
        <x:v>250</x:v>
      </x:c>
      <x:c r="F24" s="80" t="str">
        <x:v>Ho-Oh</x:v>
      </x:c>
      <x:c r="G24" s="82" t="str">
        <x:v>Fogo / Voador</x:v>
      </x:c>
      <x:c r="H24" s="82" t="str">
        <x:v>Físico</x:v>
      </x:c>
      <x:c r="I24" s="142" t="n">
        <x:f>ROUND(100*(Metodologia!$B$17*(Q24/Metodologia!$B$22)+Metodologia!$B$18*(R24/Metodologia!$B$23)+Metodologia!$B$19*(S24/Metodologia!$B$24)+Metodologia!$B$20*(P24/Metodologia!$B$25)+Metodologia!$B$21*(J24/Metodologia!$B$26)),2)</x:f>
        <x:v>84.19</x:v>
      </x:c>
      <x:c r="J24" s="82" t="n">
        <x:f>SUM(K24:P24)</x:f>
        <x:v>680</x:v>
      </x:c>
      <x:c r="K24" s="82" t="n">
        <x:v>106</x:v>
      </x:c>
      <x:c r="L24" s="82" t="n">
        <x:v>130</x:v>
      </x:c>
      <x:c r="M24" s="82" t="n">
        <x:v>90</x:v>
      </x:c>
      <x:c r="N24" s="82" t="n">
        <x:v>110</x:v>
      </x:c>
      <x:c r="O24" s="82" t="n">
        <x:v>154</x:v>
      </x:c>
      <x:c r="P24" s="82" t="n">
        <x:v>90</x:v>
      </x:c>
      <x:c r="Q24" s="143" t="n">
        <x:f>MAX(L24,N24)*Metodologia!$B$16</x:f>
        <x:v>169</x:v>
      </x:c>
      <x:c r="R24" s="143" t="n">
        <x:f>MIN(L24,N24)*Metodologia!$B$16</x:f>
        <x:v>143</x:v>
      </x:c>
      <x:c r="S24" s="143" t="n">
        <x:f>SQRT(K24*AVERAGE(M24,O24)*Metodologia!$B$16)</x:f>
        <x:v>129.6595542179596</x:v>
      </x:c>
      <x:c r="T24" s="82" t="str">
        <x:v>Não</x:v>
      </x:c>
      <x:c r="U24" s="82" t="str">
        <x:v>Excluído — lendário/mítico</x:v>
      </x:c>
      <x:c r="V24" s="82" t="str">
        <x:v>Espécie lendária/mítica: mantida na auditoria, mas fora do time utilizável solicitado.</x:v>
      </x:c>
      <x:c r="W24" s="82" t="str"/>
      <x:c r="X24" s="82" t="str"/>
      <x:c r="Y24" s="154" t="str">
        <x:v>https://poke.idleworld.online/pokepedia/pokemon/ho-oh</x:v>
      </x:c>
    </x:row>
    <x:row r="25" ht="48" customHeight="1">
      <x:c r="A25" s="82" t="str">
        <x:f>IF(U25&lt;&gt;"Rankeado","",COUNTIFS($U$5:$U$26,"Rankeado",$I$5:$I$26,"&gt;"&amp;I25)+COUNTIFS($U$5:U25,"Rankeado",$I$5:I25,I25))</x:f>
      </x:c>
      <x:c r="B25" s="82" t="n">
        <x:f>COUNTIF($I$5:$I$26,"&gt;"&amp;I25)+COUNTIF($I$5:I25,I25)</x:f>
        <x:v>2</x:v>
      </x:c>
      <x:c r="C25" s="82" t="str">
        <x:f>IF(I25&gt;=80,"S+",IF(I25&gt;=72,"S",IF(I25&gt;=65,"A",IF(I25&gt;=58,"B",IF(I25&gt;=50,"C",IF(I25&gt;=42,"D","E"))))))</x:f>
        <x:v>S</x:v>
      </x:c>
      <x:c r="D25" s="82" t="str">
        <x:f>IF(AND(U25="Rankeado",A25&lt;=6),"Sim","Não")</x:f>
        <x:v>Não</x:v>
      </x:c>
      <x:c r="E25" s="82" t="n">
        <x:v>146</x:v>
      </x:c>
      <x:c r="F25" s="80" t="str">
        <x:v>Moltres</x:v>
      </x:c>
      <x:c r="G25" s="82" t="str">
        <x:v>Fogo / Voador</x:v>
      </x:c>
      <x:c r="H25" s="82" t="str">
        <x:v>Especial</x:v>
      </x:c>
      <x:c r="I25" s="142" t="n">
        <x:f>ROUND(100*(Metodologia!$B$17*(Q25/Metodologia!$B$22)+Metodologia!$B$18*(R25/Metodologia!$B$23)+Metodologia!$B$19*(S25/Metodologia!$B$24)+Metodologia!$B$20*(P25/Metodologia!$B$25)+Metodologia!$B$21*(J25/Metodologia!$B$26)),2)</x:f>
        <x:v>77.85</x:v>
      </x:c>
      <x:c r="J25" s="82" t="n">
        <x:f>SUM(K25:P25)</x:f>
        <x:v>580</x:v>
      </x:c>
      <x:c r="K25" s="82" t="n">
        <x:v>90</x:v>
      </x:c>
      <x:c r="L25" s="82" t="n">
        <x:v>100</x:v>
      </x:c>
      <x:c r="M25" s="82" t="n">
        <x:v>90</x:v>
      </x:c>
      <x:c r="N25" s="82" t="n">
        <x:v>125</x:v>
      </x:c>
      <x:c r="O25" s="82" t="n">
        <x:v>85</x:v>
      </x:c>
      <x:c r="P25" s="82" t="n">
        <x:v>90</x:v>
      </x:c>
      <x:c r="Q25" s="143" t="n">
        <x:f>MAX(L25,N25)*Metodologia!$B$16</x:f>
        <x:v>162.5</x:v>
      </x:c>
      <x:c r="R25" s="143" t="n">
        <x:f>MIN(L25,N25)*Metodologia!$B$16</x:f>
        <x:v>130</x:v>
      </x:c>
      <x:c r="S25" s="143" t="n">
        <x:f>SQRT(K25*AVERAGE(M25,O25)*Metodologia!$B$16)</x:f>
        <x:v>101.18053172424031</x:v>
      </x:c>
      <x:c r="T25" s="82" t="str">
        <x:v>Não</x:v>
      </x:c>
      <x:c r="U25" s="82" t="str">
        <x:v>Excluído — lendário/mítico</x:v>
      </x:c>
      <x:c r="V25" s="82" t="str">
        <x:v>Espécie lendária/mítica: mantida na auditoria, mas fora do time utilizável solicitado.</x:v>
      </x:c>
      <x:c r="W25" s="82" t="str"/>
      <x:c r="X25" s="82" t="str"/>
      <x:c r="Y25" s="154" t="str">
        <x:v>https://poke.idleworld.online/pokepedia/pokemon/moltres</x:v>
      </x:c>
    </x:row>
    <x:row r="26" ht="48" customHeight="1">
      <x:c r="A26" s="86" t="str">
        <x:f>IF(U26&lt;&gt;"Rankeado","",COUNTIFS($U$5:$U$26,"Rankeado",$I$5:$I$26,"&gt;"&amp;I26)+COUNTIFS($U$5:U26,"Rankeado",$I$5:I26,I26))</x:f>
      </x:c>
      <x:c r="B26" s="86" t="n">
        <x:f>COUNTIF($I$5:$I$26,"&gt;"&amp;I26)+COUNTIF($I$5:I26,I26)</x:f>
        <x:v>4</x:v>
      </x:c>
      <x:c r="C26" s="86" t="str">
        <x:f>IF(I26&gt;=80,"S+",IF(I26&gt;=72,"S",IF(I26&gt;=65,"A",IF(I26&gt;=58,"B",IF(I26&gt;=50,"C",IF(I26&gt;=42,"D","E"))))))</x:f>
        <x:v>S</x:v>
      </x:c>
      <x:c r="D26" s="86" t="str">
        <x:f>IF(AND(U26="Rankeado",A26&lt;=6),"Sim","Não")</x:f>
        <x:v>Não</x:v>
      </x:c>
      <x:c r="E26" s="86" t="n">
        <x:v>244</x:v>
      </x:c>
      <x:c r="F26" s="84" t="str">
        <x:v>Entei</x:v>
      </x:c>
      <x:c r="G26" s="86" t="str">
        <x:v>Fogo</x:v>
      </x:c>
      <x:c r="H26" s="86" t="str">
        <x:v>Físico</x:v>
      </x:c>
      <x:c r="I26" s="145" t="n">
        <x:f>ROUND(100*(Metodologia!$B$17*(Q26/Metodologia!$B$22)+Metodologia!$B$18*(R26/Metodologia!$B$23)+Metodologia!$B$19*(S26/Metodologia!$B$24)+Metodologia!$B$20*(P26/Metodologia!$B$25)+Metodologia!$B$21*(J26/Metodologia!$B$26)),2)</x:f>
        <x:v>74.5</x:v>
      </x:c>
      <x:c r="J26" s="86" t="n">
        <x:f>SUM(K26:P26)</x:f>
        <x:v>580</x:v>
      </x:c>
      <x:c r="K26" s="86" t="n">
        <x:v>115</x:v>
      </x:c>
      <x:c r="L26" s="86" t="n">
        <x:v>115</x:v>
      </x:c>
      <x:c r="M26" s="86" t="n">
        <x:v>85</x:v>
      </x:c>
      <x:c r="N26" s="86" t="n">
        <x:v>90</x:v>
      </x:c>
      <x:c r="O26" s="86" t="n">
        <x:v>75</x:v>
      </x:c>
      <x:c r="P26" s="86" t="n">
        <x:v>100</x:v>
      </x:c>
      <x:c r="Q26" s="146" t="n">
        <x:f>MAX(L26,N26)*Metodologia!$B$16</x:f>
        <x:v>149.5</x:v>
      </x:c>
      <x:c r="R26" s="146" t="n">
        <x:f>MIN(L26,N26)*Metodologia!$B$16</x:f>
        <x:v>117</x:v>
      </x:c>
      <x:c r="S26" s="146" t="n">
        <x:f>SQRT(K26*AVERAGE(M26,O26)*Metodologia!$B$16)</x:f>
        <x:v>109.36178491593853</x:v>
      </x:c>
      <x:c r="T26" s="86" t="str">
        <x:v>Não</x:v>
      </x:c>
      <x:c r="U26" s="86" t="str">
        <x:v>Excluído — lendário/mítico</x:v>
      </x:c>
      <x:c r="V26" s="86" t="str">
        <x:v>Espécie lendária/mítica: mantida na auditoria, mas fora do time utilizável solicitado.</x:v>
      </x:c>
      <x:c r="W26" s="86" t="str"/>
      <x:c r="X26" s="86" t="str"/>
      <x:c r="Y26" s="155" t="str">
        <x:v>https://poke.idleworld.online/pokepedia/pokemon/entei</x:v>
      </x:c>
    </x:row>
  </x:sheetData>
  <x:mergeCells>
    <x:mergeCell ref="A1:Y1"/>
    <x:mergeCell ref="A2:Y2"/>
  </x:mergeCells>
  <x:conditionalFormatting sqref="I5:I26">
    <x:cfRule type="colorScale" priority="1">
      <x:colorScale>
        <x:cfvo type="min"/>
        <x:cfvo type="percentile" val="50"/>
        <x:cfvo type="max"/>
        <x:color rgb="FF6B1F1A"/>
        <x:color rgb="FFD98350"/>
        <x:color rgb="FF5F9D62"/>
      </x:colorScale>
    </x:cfRule>
  </x:conditionalFormatting>
  <x:conditionalFormatting sqref="A5:Y26">
    <x:cfRule type="expression" dxfId="0" priority="2">
      <x:formula>AND($D5="Sim",$U5="Rankeado")</x:formula>
    </x:cfRule>
    <x:cfRule type="expression" dxfId="1" priority="3">
      <x:formula>$U5="Excluído — lendário/mítico"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2e8bd5e2a4a491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8" hidden="0" customWidth="1"/>
    <x:col min="4" max="4" width="10" hidden="0" customWidth="1"/>
    <x:col min="5" max="5" width="7" hidden="0" customWidth="1"/>
    <x:col min="6" max="6" width="20" hidden="0" customWidth="1"/>
    <x:col min="7" max="7" width="22" hidden="0" customWidth="1"/>
    <x:col min="8" max="8" width="12" hidden="0" customWidth="1"/>
    <x:col min="9" max="9" width="11" hidden="0" customWidth="1"/>
    <x:col min="10" max="10" width="9" hidden="0" customWidth="1"/>
    <x:col min="11" max="11" width="8" hidden="0" customWidth="1"/>
    <x:col min="12" max="12" width="8" hidden="0" customWidth="1"/>
    <x:col min="13" max="13" width="8" hidden="0" customWidth="1"/>
    <x:col min="14" max="14" width="10" hidden="0" customWidth="1"/>
    <x:col min="15" max="15" width="10" hidden="0" customWidth="1"/>
    <x:col min="16" max="16" width="9" hidden="0" customWidth="1"/>
    <x:col min="17" max="17" width="18" hidden="0" customWidth="1"/>
    <x:col min="18" max="18" width="21" hidden="0" customWidth="1"/>
    <x:col min="19" max="19" width="16" hidden="0" customWidth="1"/>
    <x:col min="20" max="20" width="13" hidden="0" customWidth="1"/>
    <x:col min="21" max="21" width="23" hidden="0" customWidth="1"/>
    <x:col min="22" max="22" width="48" hidden="0" customWidth="1"/>
    <x:col min="23" max="23" width="52" hidden="0" customWidth="1"/>
    <x:col min="24" max="24" width="52" hidden="0" customWidth="1"/>
    <x:col min="25" max="25" width="56" hidden="0" customWidth="1"/>
  </x:cols>
  <x:sheetData>
    <x:row r="1" ht="34" customHeight="1">
      <x:c r="A1" s="5" t="str">
        <x:v>Raibolt · ranking completo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 ht="24" customHeight="1">
      <x:c r="A2" s="12" t="str">
        <x:v>Elétrico · 15 utilizáveis · time recomendado: Jolteon · Ampharos · Magneton · Electabuzz · Raichu · Electrode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</x:row>
    <x:row r="4">
      <x:c r="A4" s="115" t="str">
        <x:v>Posição</x:v>
      </x:c>
      <x:c r="B4" s="115" t="str">
        <x:v>Rank teórico</x:v>
      </x:c>
      <x:c r="C4" s="115" t="str">
        <x:v>Tier</x:v>
      </x:c>
      <x:c r="D4" s="115" t="str">
        <x:v>Time 6</x:v>
      </x:c>
      <x:c r="E4" s="115" t="str">
        <x:v>#</x:v>
      </x:c>
      <x:c r="F4" s="115" t="str">
        <x:v>Pokémon</x:v>
      </x:c>
      <x:c r="G4" s="115" t="str">
        <x:v>Tipos</x:v>
      </x:c>
      <x:c r="H4" s="115" t="str">
        <x:v>Perfil</x:v>
      </x:c>
      <x:c r="I4" s="115" t="str">
        <x:v>Score</x:v>
      </x:c>
      <x:c r="J4" s="115" t="str">
        <x:v>BST</x:v>
      </x:c>
      <x:c r="K4" s="115" t="str">
        <x:v>HP</x:v>
      </x:c>
      <x:c r="L4" s="115" t="str">
        <x:v>ATK</x:v>
      </x:c>
      <x:c r="M4" s="115" t="str">
        <x:v>DEF</x:v>
      </x:c>
      <x:c r="N4" s="115" t="str">
        <x:v>Sp. ATK</x:v>
      </x:c>
      <x:c r="O4" s="115" t="str">
        <x:v>Sp. DEF</x:v>
      </x:c>
      <x:c r="P4" s="115" t="str">
        <x:v>Speed</x:v>
      </x:c>
      <x:c r="Q4" s="115" t="str">
        <x:v>Teto ofensivo R5</x:v>
      </x:c>
      <x:c r="R4" s="115" t="str">
        <x:v>Ofensiva secundária R5</x:v>
      </x:c>
      <x:c r="S4" s="115" t="str">
        <x:v>Robustez R5</x:v>
      </x:c>
      <x:c r="T4" s="115" t="str">
        <x:v>Hunt Kanto</x:v>
      </x:c>
      <x:c r="U4" s="115" t="str">
        <x:v>Status</x:v>
      </x:c>
      <x:c r="V4" s="115" t="str">
        <x:v>Leitura técnica</x:v>
      </x:c>
      <x:c r="W4" s="115" t="str">
        <x:v>Por que abaixo do anterior</x:v>
      </x:c>
      <x:c r="X4" s="115" t="str">
        <x:v>Por que acima do seguinte</x:v>
      </x:c>
      <x:c r="Y4" s="115" t="str">
        <x:v>Fonte</x:v>
      </x:c>
    </x:row>
    <x:row r="5" ht="48" customHeight="1">
      <x:c r="A5" s="82" t="n">
        <x:f>IF(U5&lt;&gt;"Rankeado","",COUNTIFS($U$5:$U$21,"Rankeado",$I$5:$I$21,"&gt;"&amp;I5)+COUNTIFS($U$5:U5,"Rankeado",$I$5:I5,I5))</x:f>
        <x:v>1</x:v>
      </x:c>
      <x:c r="B5" s="82" t="n">
        <x:f>COUNTIF($I$5:$I$21,"&gt;"&amp;I5)+COUNTIF($I$5:I5,I5)</x:f>
        <x:v>3</x:v>
      </x:c>
      <x:c r="C5" s="82" t="str">
        <x:f>IF(I5&gt;=80,"S+",IF(I5&gt;=72,"S",IF(I5&gt;=65,"A",IF(I5&gt;=58,"B",IF(I5&gt;=50,"C",IF(I5&gt;=42,"D","E"))))))</x:f>
        <x:v>A</x:v>
      </x:c>
      <x:c r="D5" s="82" t="str">
        <x:f>IF(AND(U5="Rankeado",A5&lt;=6),"Sim","Não")</x:f>
        <x:v>Sim</x:v>
      </x:c>
      <x:c r="E5" s="82" t="n">
        <x:v>135</x:v>
      </x:c>
      <x:c r="F5" s="80" t="str">
        <x:v>Jolteon</x:v>
      </x:c>
      <x:c r="G5" s="82" t="str">
        <x:v>Elétrico</x:v>
      </x:c>
      <x:c r="H5" s="82" t="str">
        <x:v>Especial</x:v>
      </x:c>
      <x:c r="I5" s="142" t="n">
        <x:f>ROUND(100*(Metodologia!$B$17*(Q5/Metodologia!$B$22)+Metodologia!$B$18*(R5/Metodologia!$B$23)+Metodologia!$B$19*(S5/Metodologia!$B$24)+Metodologia!$B$20*(P5/Metodologia!$B$25)+Metodologia!$B$21*(J5/Metodologia!$B$26)),2)</x:f>
        <x:v>69.12</x:v>
      </x:c>
      <x:c r="J5" s="82" t="n">
        <x:f>SUM(K5:P5)</x:f>
        <x:v>525</x:v>
      </x:c>
      <x:c r="K5" s="82" t="n">
        <x:v>65</x:v>
      </x:c>
      <x:c r="L5" s="82" t="n">
        <x:v>65</x:v>
      </x:c>
      <x:c r="M5" s="82" t="n">
        <x:v>60</x:v>
      </x:c>
      <x:c r="N5" s="82" t="n">
        <x:v>110</x:v>
      </x:c>
      <x:c r="O5" s="82" t="n">
        <x:v>95</x:v>
      </x:c>
      <x:c r="P5" s="82" t="n">
        <x:v>130</x:v>
      </x:c>
      <x:c r="Q5" s="143" t="n">
        <x:f>MAX(L5,N5)*Metodologia!$B$16</x:f>
        <x:v>143</x:v>
      </x:c>
      <x:c r="R5" s="143" t="n">
        <x:f>MIN(L5,N5)*Metodologia!$B$16</x:f>
        <x:v>84.5</x:v>
      </x:c>
      <x:c r="S5" s="143" t="n">
        <x:f>SQRT(K5*AVERAGE(M5,O5)*Metodologia!$B$16)</x:f>
        <x:v>80.92434738692675</x:v>
      </x:c>
      <x:c r="T5" s="82" t="str">
        <x:v>Não</x:v>
      </x:c>
      <x:c r="U5" s="82" t="str">
        <x:v>Rankeado</x:v>
      </x:c>
      <x:c r="V5" s="82" t="str">
        <x:v>Perfil especial; melhor atributo ofensivo 110, ofensiva secundária 65, robustez relativa 52% e Speed 130. O índice privilegia dano de hunt, sem ignorar sobrevivência.</x:v>
      </x:c>
      <x:c r="W5" s="82" t="str">
        <x:v>É o líder do clã no modelo.</x:v>
      </x:c>
      <x:c r="X5" s="82" t="str">
        <x:v>Fica à frente de Ampharos porque possui velocidade 136.4% maior e total de stats 2.9% maior.</x:v>
      </x:c>
      <x:c r="Y5" s="154" t="str">
        <x:v>https://poke.idleworld.online/pokepedia/pokemon/jolteon</x:v>
      </x:c>
    </x:row>
    <x:row r="6" ht="48" customHeight="1">
      <x:c r="A6" s="82" t="n">
        <x:f>IF(U6&lt;&gt;"Rankeado","",COUNTIFS($U$5:$U$21,"Rankeado",$I$5:$I$21,"&gt;"&amp;I6)+COUNTIFS($U$5:U6,"Rankeado",$I$5:I6,I6))</x:f>
        <x:v>2</x:v>
      </x:c>
      <x:c r="B6" s="82" t="n">
        <x:f>COUNTIF($I$5:$I$21,"&gt;"&amp;I6)+COUNTIF($I$5:I6,I6)</x:f>
        <x:v>4</x:v>
      </x:c>
      <x:c r="C6" s="82" t="str">
        <x:f>IF(I6&gt;=80,"S+",IF(I6&gt;=72,"S",IF(I6&gt;=65,"A",IF(I6&gt;=58,"B",IF(I6&gt;=50,"C",IF(I6&gt;=42,"D","E"))))))</x:f>
        <x:v>A</x:v>
      </x:c>
      <x:c r="D6" s="82" t="str">
        <x:f>IF(AND(U6="Rankeado",A6&lt;=6),"Sim","Não")</x:f>
        <x:v>Sim</x:v>
      </x:c>
      <x:c r="E6" s="82" t="n">
        <x:v>181</x:v>
      </x:c>
      <x:c r="F6" s="80" t="str">
        <x:v>Ampharos</x:v>
      </x:c>
      <x:c r="G6" s="82" t="str">
        <x:v>Elétrico</x:v>
      </x:c>
      <x:c r="H6" s="82" t="str">
        <x:v>Especial</x:v>
      </x:c>
      <x:c r="I6" s="142" t="n">
        <x:f>ROUND(100*(Metodologia!$B$17*(Q6/Metodologia!$B$22)+Metodologia!$B$18*(R6/Metodologia!$B$23)+Metodologia!$B$19*(S6/Metodologia!$B$24)+Metodologia!$B$20*(P6/Metodologia!$B$25)+Metodologia!$B$21*(J6/Metodologia!$B$26)),2)</x:f>
        <x:v>68.83</x:v>
      </x:c>
      <x:c r="J6" s="82" t="n">
        <x:f>SUM(K6:P6)</x:f>
        <x:v>510</x:v>
      </x:c>
      <x:c r="K6" s="82" t="n">
        <x:v>90</x:v>
      </x:c>
      <x:c r="L6" s="82" t="n">
        <x:v>75</x:v>
      </x:c>
      <x:c r="M6" s="82" t="n">
        <x:v>85</x:v>
      </x:c>
      <x:c r="N6" s="82" t="n">
        <x:v>115</x:v>
      </x:c>
      <x:c r="O6" s="82" t="n">
        <x:v>90</x:v>
      </x:c>
      <x:c r="P6" s="82" t="n">
        <x:v>55</x:v>
      </x:c>
      <x:c r="Q6" s="143" t="n">
        <x:f>MAX(L6,N6)*Metodologia!$B$16</x:f>
        <x:v>149.5</x:v>
      </x:c>
      <x:c r="R6" s="143" t="n">
        <x:f>MIN(L6,N6)*Metodologia!$B$16</x:f>
        <x:v>97.5</x:v>
      </x:c>
      <x:c r="S6" s="143" t="n">
        <x:f>SQRT(K6*AVERAGE(M6,O6)*Metodologia!$B$16)</x:f>
        <x:v>101.18053172424031</x:v>
      </x:c>
      <x:c r="T6" s="82" t="str">
        <x:v>Sim</x:v>
      </x:c>
      <x:c r="U6" s="82" t="str">
        <x:v>Rankeado</x:v>
      </x:c>
      <x:c r="V6" s="82" t="str">
        <x:v>Perfil especial; melhor atributo ofensivo 115, ofensiva secundária 75, robustez relativa 65% e Speed 55. O índice privilegia dano de hunt, sem ignorar sobrevivência.</x:v>
      </x:c>
      <x:c r="W6" s="82" t="str">
        <x:v>Fica atrás de Jolteon principalmente por velocidade 57.7% menor e total de stats 2.9% menor.</x:v>
      </x:c>
      <x:c r="X6" s="82" t="str">
        <x:v>Fica à frente de Magneton porque possui robustez sustentada 38.2% maior e ofensiva secundária 25.0% maior.</x:v>
      </x:c>
      <x:c r="Y6" s="154" t="str">
        <x:v>https://poke.idleworld.online/pokepedia/pokemon/ampharos</x:v>
      </x:c>
    </x:row>
    <x:row r="7" ht="48" customHeight="1">
      <x:c r="A7" s="82" t="n">
        <x:f>IF(U7&lt;&gt;"Rankeado","",COUNTIFS($U$5:$U$21,"Rankeado",$I$5:$I$21,"&gt;"&amp;I7)+COUNTIFS($U$5:U7,"Rankeado",$I$5:I7,I7))</x:f>
        <x:v>3</x:v>
      </x:c>
      <x:c r="B7" s="82" t="n">
        <x:f>COUNTIF($I$5:$I$21,"&gt;"&amp;I7)+COUNTIF($I$5:I7,I7)</x:f>
        <x:v>5</x:v>
      </x:c>
      <x:c r="C7" s="82" t="str">
        <x:f>IF(I7&gt;=80,"S+",IF(I7&gt;=72,"S",IF(I7&gt;=65,"A",IF(I7&gt;=58,"B",IF(I7&gt;=50,"C",IF(I7&gt;=42,"D","E"))))))</x:f>
        <x:v>A</x:v>
      </x:c>
      <x:c r="D7" s="82" t="str">
        <x:f>IF(AND(U7="Rankeado",A7&lt;=6),"Sim","Não")</x:f>
        <x:v>Sim</x:v>
      </x:c>
      <x:c r="E7" s="82" t="n">
        <x:v>82</x:v>
      </x:c>
      <x:c r="F7" s="80" t="str">
        <x:v>Magneton</x:v>
      </x:c>
      <x:c r="G7" s="82" t="str">
        <x:v>Elétrico / Aço</x:v>
      </x:c>
      <x:c r="H7" s="82" t="str">
        <x:v>Especial</x:v>
      </x:c>
      <x:c r="I7" s="142" t="n">
        <x:f>ROUND(100*(Metodologia!$B$17*(Q7/Metodologia!$B$22)+Metodologia!$B$18*(R7/Metodologia!$B$23)+Metodologia!$B$19*(S7/Metodologia!$B$24)+Metodologia!$B$20*(P7/Metodologia!$B$25)+Metodologia!$B$21*(J7/Metodologia!$B$26)),2)</x:f>
        <x:v>67.38</x:v>
      </x:c>
      <x:c r="J7" s="82" t="n">
        <x:f>SUM(K7:P7)</x:f>
        <x:v>465</x:v>
      </x:c>
      <x:c r="K7" s="82" t="n">
        <x:v>50</x:v>
      </x:c>
      <x:c r="L7" s="82" t="n">
        <x:v>60</x:v>
      </x:c>
      <x:c r="M7" s="82" t="n">
        <x:v>95</x:v>
      </x:c>
      <x:c r="N7" s="82" t="n">
        <x:v>120</x:v>
      </x:c>
      <x:c r="O7" s="82" t="n">
        <x:v>70</x:v>
      </x:c>
      <x:c r="P7" s="82" t="n">
        <x:v>70</x:v>
      </x:c>
      <x:c r="Q7" s="143" t="n">
        <x:f>MAX(L7,N7)*Metodologia!$B$16</x:f>
        <x:v>156</x:v>
      </x:c>
      <x:c r="R7" s="143" t="n">
        <x:f>MIN(L7,N7)*Metodologia!$B$16</x:f>
        <x:v>78</x:v>
      </x:c>
      <x:c r="S7" s="143" t="n">
        <x:f>SQRT(K7*AVERAGE(M7,O7)*Metodologia!$B$16)</x:f>
        <x:v>73.22909257938404</x:v>
      </x:c>
      <x:c r="T7" s="82" t="str">
        <x:v>Sim</x:v>
      </x:c>
      <x:c r="U7" s="82" t="str">
        <x:v>Rankeado</x:v>
      </x:c>
      <x:c r="V7" s="82" t="str">
        <x:v>Perfil especial; melhor atributo ofensivo 120, ofensiva secundária 60, robustez relativa 47% e Speed 70. O índice privilegia dano de hunt, sem ignorar sobrevivência.</x:v>
      </x:c>
      <x:c r="W7" s="82" t="str">
        <x:v>Fica atrás de Ampharos principalmente por robustez sustentada 27.6% menor e ofensiva secundária 20.0% menor.</x:v>
      </x:c>
      <x:c r="X7" s="82" t="str">
        <x:v>Fica à frente de Electabuzz porque possui teto ofensivo 26.3% maior.</x:v>
      </x:c>
      <x:c r="Y7" s="154" t="str">
        <x:v>https://poke.idleworld.online/pokepedia/pokemon/magneton</x:v>
      </x:c>
    </x:row>
    <x:row r="8" ht="48" customHeight="1">
      <x:c r="A8" s="82" t="n">
        <x:f>IF(U8&lt;&gt;"Rankeado","",COUNTIFS($U$5:$U$21,"Rankeado",$I$5:$I$21,"&gt;"&amp;I8)+COUNTIFS($U$5:U8,"Rankeado",$I$5:I8,I8))</x:f>
        <x:v>4</x:v>
      </x:c>
      <x:c r="B8" s="82" t="n">
        <x:f>COUNTIF($I$5:$I$21,"&gt;"&amp;I8)+COUNTIF($I$5:I8,I8)</x:f>
        <x:v>6</x:v>
      </x:c>
      <x:c r="C8" s="82" t="str">
        <x:f>IF(I8&gt;=80,"S+",IF(I8&gt;=72,"S",IF(I8&gt;=65,"A",IF(I8&gt;=58,"B",IF(I8&gt;=50,"C",IF(I8&gt;=42,"D","E"))))))</x:f>
        <x:v>B</x:v>
      </x:c>
      <x:c r="D8" s="82" t="str">
        <x:f>IF(AND(U8="Rankeado",A8&lt;=6),"Sim","Não")</x:f>
        <x:v>Sim</x:v>
      </x:c>
      <x:c r="E8" s="82" t="n">
        <x:v>125</x:v>
      </x:c>
      <x:c r="F8" s="80" t="str">
        <x:v>Electabuzz</x:v>
      </x:c>
      <x:c r="G8" s="82" t="str">
        <x:v>Elétrico</x:v>
      </x:c>
      <x:c r="H8" s="82" t="str">
        <x:v>Especial</x:v>
      </x:c>
      <x:c r="I8" s="142" t="n">
        <x:f>ROUND(100*(Metodologia!$B$17*(Q8/Metodologia!$B$22)+Metodologia!$B$18*(R8/Metodologia!$B$23)+Metodologia!$B$19*(S8/Metodologia!$B$24)+Metodologia!$B$20*(P8/Metodologia!$B$25)+Metodologia!$B$21*(J8/Metodologia!$B$26)),2)</x:f>
        <x:v>62.66</x:v>
      </x:c>
      <x:c r="J8" s="82" t="n">
        <x:f>SUM(K8:P8)</x:f>
        <x:v>490</x:v>
      </x:c>
      <x:c r="K8" s="82" t="n">
        <x:v>65</x:v>
      </x:c>
      <x:c r="L8" s="82" t="n">
        <x:v>83</x:v>
      </x:c>
      <x:c r="M8" s="82" t="n">
        <x:v>57</x:v>
      </x:c>
      <x:c r="N8" s="82" t="n">
        <x:v>95</x:v>
      </x:c>
      <x:c r="O8" s="82" t="n">
        <x:v>85</x:v>
      </x:c>
      <x:c r="P8" s="82" t="n">
        <x:v>105</x:v>
      </x:c>
      <x:c r="Q8" s="143" t="n">
        <x:f>MAX(L8,N8)*Metodologia!$B$16</x:f>
        <x:v>123.5</x:v>
      </x:c>
      <x:c r="R8" s="143" t="n">
        <x:f>MIN(L8,N8)*Metodologia!$B$16</x:f>
        <x:v>107.9</x:v>
      </x:c>
      <x:c r="S8" s="143" t="n">
        <x:f>SQRT(K8*AVERAGE(M8,O8)*Metodologia!$B$16)</x:f>
        <x:v>77.45643937078441</x:v>
      </x:c>
      <x:c r="T8" s="82" t="str">
        <x:v>Sim</x:v>
      </x:c>
      <x:c r="U8" s="82" t="str">
        <x:v>Rankeado</x:v>
      </x:c>
      <x:c r="V8" s="82" t="str">
        <x:v>Perfil especial; melhor atributo ofensivo 95, ofensiva secundária 83, robustez relativa 50% e Speed 105. O índice privilegia dano de hunt, sem ignorar sobrevivência.</x:v>
      </x:c>
      <x:c r="W8" s="82" t="str">
        <x:v>Fica atrás de Magneton principalmente por teto ofensivo 20.8% menor.</x:v>
      </x:c>
      <x:c r="X8" s="82" t="str">
        <x:v>Fica à frente de Raichu porque possui teto ofensivo 5.6% maior e robustez sustentada 6.7% maior.</x:v>
      </x:c>
      <x:c r="Y8" s="154" t="str">
        <x:v>https://poke.idleworld.online/pokepedia/pokemon/electabuzz</x:v>
      </x:c>
    </x:row>
    <x:row r="9" ht="48" customHeight="1">
      <x:c r="A9" s="82" t="n">
        <x:f>IF(U9&lt;&gt;"Rankeado","",COUNTIFS($U$5:$U$21,"Rankeado",$I$5:$I$21,"&gt;"&amp;I9)+COUNTIFS($U$5:U9,"Rankeado",$I$5:I9,I9))</x:f>
        <x:v>5</x:v>
      </x:c>
      <x:c r="B9" s="82" t="n">
        <x:f>COUNTIF($I$5:$I$21,"&gt;"&amp;I9)+COUNTIF($I$5:I9,I9)</x:f>
        <x:v>7</x:v>
      </x:c>
      <x:c r="C9" s="82" t="str">
        <x:f>IF(I9&gt;=80,"S+",IF(I9&gt;=72,"S",IF(I9&gt;=65,"A",IF(I9&gt;=58,"B",IF(I9&gt;=50,"C",IF(I9&gt;=42,"D","E"))))))</x:f>
        <x:v>B</x:v>
      </x:c>
      <x:c r="D9" s="82" t="str">
        <x:f>IF(AND(U9="Rankeado",A9&lt;=6),"Sim","Não")</x:f>
        <x:v>Sim</x:v>
      </x:c>
      <x:c r="E9" s="82" t="n">
        <x:v>26</x:v>
      </x:c>
      <x:c r="F9" s="80" t="str">
        <x:v>Raichu</x:v>
      </x:c>
      <x:c r="G9" s="82" t="str">
        <x:v>Elétrico</x:v>
      </x:c>
      <x:c r="H9" s="82" t="str">
        <x:v>Misto</x:v>
      </x:c>
      <x:c r="I9" s="142" t="n">
        <x:f>ROUND(100*(Metodologia!$B$17*(Q9/Metodologia!$B$22)+Metodologia!$B$18*(R9/Metodologia!$B$23)+Metodologia!$B$19*(S9/Metodologia!$B$24)+Metodologia!$B$20*(P9/Metodologia!$B$25)+Metodologia!$B$21*(J9/Metodologia!$B$26)),2)</x:f>
        <x:v>61.17</x:v>
      </x:c>
      <x:c r="J9" s="82" t="n">
        <x:f>SUM(K9:P9)</x:f>
        <x:v>485</x:v>
      </x:c>
      <x:c r="K9" s="82" t="n">
        <x:v>60</x:v>
      </x:c>
      <x:c r="L9" s="82" t="n">
        <x:v>90</x:v>
      </x:c>
      <x:c r="M9" s="82" t="n">
        <x:v>55</x:v>
      </x:c>
      <x:c r="N9" s="82" t="n">
        <x:v>90</x:v>
      </x:c>
      <x:c r="O9" s="82" t="n">
        <x:v>80</x:v>
      </x:c>
      <x:c r="P9" s="82" t="n">
        <x:v>110</x:v>
      </x:c>
      <x:c r="Q9" s="143" t="n">
        <x:f>MAX(L9,N9)*Metodologia!$B$16</x:f>
        <x:v>117</x:v>
      </x:c>
      <x:c r="R9" s="143" t="n">
        <x:f>MIN(L9,N9)*Metodologia!$B$16</x:f>
        <x:v>117</x:v>
      </x:c>
      <x:c r="S9" s="143" t="n">
        <x:f>SQRT(K9*AVERAGE(M9,O9)*Metodologia!$B$16)</x:f>
        <x:v>72.56031973468694</x:v>
      </x:c>
      <x:c r="T9" s="82" t="str">
        <x:v>Sim</x:v>
      </x:c>
      <x:c r="U9" s="82" t="str">
        <x:v>Rankeado</x:v>
      </x:c>
      <x:c r="V9" s="82" t="str">
        <x:v>Perfil misto; melhor atributo ofensivo 90, ofensiva secundária 90, robustez relativa 47% e Speed 110. O índice privilegia dano de hunt, sem ignorar sobrevivência.</x:v>
      </x:c>
      <x:c r="W9" s="82" t="str">
        <x:v>Fica atrás de Electabuzz principalmente por teto ofensivo 5.3% menor e robustez sustentada 6.3% menor.</x:v>
      </x:c>
      <x:c r="X9" s="82" t="str">
        <x:v>Fica à frente de Electrode porque possui teto ofensivo 12.5% maior e ofensiva secundária 80.0% maior.</x:v>
      </x:c>
      <x:c r="Y9" s="154" t="str">
        <x:v>https://poke.idleworld.online/pokepedia/pokemon/raichu</x:v>
      </x:c>
    </x:row>
    <x:row r="10" ht="48" customHeight="1">
      <x:c r="A10" s="82" t="n">
        <x:f>IF(U10&lt;&gt;"Rankeado","",COUNTIFS($U$5:$U$21,"Rankeado",$I$5:$I$21,"&gt;"&amp;I10)+COUNTIFS($U$5:U10,"Rankeado",$I$5:I10,I10))</x:f>
        <x:v>6</x:v>
      </x:c>
      <x:c r="B10" s="82" t="n">
        <x:f>COUNTIF($I$5:$I$21,"&gt;"&amp;I10)+COUNTIF($I$5:I10,I10)</x:f>
        <x:v>8</x:v>
      </x:c>
      <x:c r="C10" s="82" t="str">
        <x:f>IF(I10&gt;=80,"S+",IF(I10&gt;=72,"S",IF(I10&gt;=65,"A",IF(I10&gt;=58,"B",IF(I10&gt;=50,"C",IF(I10&gt;=42,"D","E"))))))</x:f>
        <x:v>C</x:v>
      </x:c>
      <x:c r="D10" s="82" t="str">
        <x:f>IF(AND(U10="Rankeado",A10&lt;=6),"Sim","Não")</x:f>
        <x:v>Sim</x:v>
      </x:c>
      <x:c r="E10" s="82" t="n">
        <x:v>101</x:v>
      </x:c>
      <x:c r="F10" s="80" t="str">
        <x:v>Electrode</x:v>
      </x:c>
      <x:c r="G10" s="82" t="str">
        <x:v>Elétrico</x:v>
      </x:c>
      <x:c r="H10" s="82" t="str">
        <x:v>Especial</x:v>
      </x:c>
      <x:c r="I10" s="142" t="n">
        <x:f>ROUND(100*(Metodologia!$B$17*(Q10/Metodologia!$B$22)+Metodologia!$B$18*(R10/Metodologia!$B$23)+Metodologia!$B$19*(S10/Metodologia!$B$24)+Metodologia!$B$20*(P10/Metodologia!$B$25)+Metodologia!$B$21*(J10/Metodologia!$B$26)),2)</x:f>
        <x:v>56.72</x:v>
      </x:c>
      <x:c r="J10" s="82" t="n">
        <x:f>SUM(K10:P10)</x:f>
        <x:v>490</x:v>
      </x:c>
      <x:c r="K10" s="82" t="n">
        <x:v>60</x:v>
      </x:c>
      <x:c r="L10" s="82" t="n">
        <x:v>50</x:v>
      </x:c>
      <x:c r="M10" s="82" t="n">
        <x:v>70</x:v>
      </x:c>
      <x:c r="N10" s="82" t="n">
        <x:v>80</x:v>
      </x:c>
      <x:c r="O10" s="82" t="n">
        <x:v>80</x:v>
      </x:c>
      <x:c r="P10" s="82" t="n">
        <x:v>150</x:v>
      </x:c>
      <x:c r="Q10" s="143" t="n">
        <x:f>MAX(L10,N10)*Metodologia!$B$16</x:f>
        <x:v>104</x:v>
      </x:c>
      <x:c r="R10" s="143" t="n">
        <x:f>MIN(L10,N10)*Metodologia!$B$16</x:f>
        <x:v>65</x:v>
      </x:c>
      <x:c r="S10" s="143" t="n">
        <x:f>SQRT(K10*AVERAGE(M10,O10)*Metodologia!$B$16)</x:f>
        <x:v>76.48529270389177</x:v>
      </x:c>
      <x:c r="T10" s="82" t="str">
        <x:v>Sim</x:v>
      </x:c>
      <x:c r="U10" s="82" t="str">
        <x:v>Rankeado</x:v>
      </x:c>
      <x:c r="V10" s="82" t="str">
        <x:v>Perfil especial; melhor atributo ofensivo 80, ofensiva secundária 50, robustez relativa 49% e Speed 150. O índice privilegia dano de hunt, sem ignorar sobrevivência.</x:v>
      </x:c>
      <x:c r="W10" s="82" t="str">
        <x:v>Fica atrás de Raichu principalmente por teto ofensivo 11.1% menor e ofensiva secundária 44.4% menor.</x:v>
      </x:c>
      <x:c r="X10" s="82" t="str">
        <x:v>Fica à frente de Lanturn porque possui velocidade 123.9% maior e teto ofensivo 5.3% maior.</x:v>
      </x:c>
      <x:c r="Y10" s="154" t="str">
        <x:v>https://poke.idleworld.online/pokepedia/pokemon/electrode</x:v>
      </x:c>
    </x:row>
    <x:row r="11" ht="48" customHeight="1">
      <x:c r="A11" s="82" t="n">
        <x:f>IF(U11&lt;&gt;"Rankeado","",COUNTIFS($U$5:$U$21,"Rankeado",$I$5:$I$21,"&gt;"&amp;I11)+COUNTIFS($U$5:U11,"Rankeado",$I$5:I11,I11))</x:f>
        <x:v>7</x:v>
      </x:c>
      <x:c r="B11" s="82" t="n">
        <x:f>COUNTIF($I$5:$I$21,"&gt;"&amp;I11)+COUNTIF($I$5:I11,I11)</x:f>
        <x:v>9</x:v>
      </x:c>
      <x:c r="C11" s="82" t="str">
        <x:f>IF(I11&gt;=80,"S+",IF(I11&gt;=72,"S",IF(I11&gt;=65,"A",IF(I11&gt;=58,"B",IF(I11&gt;=50,"C",IF(I11&gt;=42,"D","E"))))))</x:f>
        <x:v>C</x:v>
      </x:c>
      <x:c r="D11" s="82" t="str">
        <x:f>IF(AND(U11="Rankeado",A11&lt;=6),"Sim","Não")</x:f>
        <x:v>Não</x:v>
      </x:c>
      <x:c r="E11" s="82" t="n">
        <x:v>171</x:v>
      </x:c>
      <x:c r="F11" s="80" t="str">
        <x:v>Lanturn</x:v>
      </x:c>
      <x:c r="G11" s="82" t="str">
        <x:v>Água / Elétrico</x:v>
      </x:c>
      <x:c r="H11" s="82" t="str">
        <x:v>Especial</x:v>
      </x:c>
      <x:c r="I11" s="142" t="n">
        <x:f>ROUND(100*(Metodologia!$B$17*(Q11/Metodologia!$B$22)+Metodologia!$B$18*(R11/Metodologia!$B$23)+Metodologia!$B$19*(S11/Metodologia!$B$24)+Metodologia!$B$20*(P11/Metodologia!$B$25)+Metodologia!$B$21*(J11/Metodologia!$B$26)),2)</x:f>
        <x:v>52.83</x:v>
      </x:c>
      <x:c r="J11" s="82" t="n">
        <x:f>SUM(K11:P11)</x:f>
        <x:v>460</x:v>
      </x:c>
      <x:c r="K11" s="82" t="n">
        <x:v>125</x:v>
      </x:c>
      <x:c r="L11" s="82" t="n">
        <x:v>58</x:v>
      </x:c>
      <x:c r="M11" s="82" t="n">
        <x:v>58</x:v>
      </x:c>
      <x:c r="N11" s="82" t="n">
        <x:v>76</x:v>
      </x:c>
      <x:c r="O11" s="82" t="n">
        <x:v>76</x:v>
      </x:c>
      <x:c r="P11" s="82" t="n">
        <x:v>67</x:v>
      </x:c>
      <x:c r="Q11" s="143" t="n">
        <x:f>MAX(L11,N11)*Metodologia!$B$16</x:f>
        <x:v>98.8</x:v>
      </x:c>
      <x:c r="R11" s="143" t="n">
        <x:f>MIN(L11,N11)*Metodologia!$B$16</x:f>
        <x:v>75.4</x:v>
      </x:c>
      <x:c r="S11" s="143" t="n">
        <x:f>SQRT(K11*AVERAGE(M11,O11)*Metodologia!$B$16)</x:f>
        <x:v>104.34318377354603</x:v>
      </x:c>
      <x:c r="T11" s="82" t="str">
        <x:v>Sim</x:v>
      </x:c>
      <x:c r="U11" s="82" t="str">
        <x:v>Rankeado</x:v>
      </x:c>
      <x:c r="V11" s="82" t="str">
        <x:v>Perfil especial; melhor atributo ofensivo 76, ofensiva secundária 58, robustez relativa 67% e Speed 67. O índice privilegia dano de hunt, sem ignorar sobrevivência.</x:v>
      </x:c>
      <x:c r="W11" s="82" t="str">
        <x:v>Fica atrás de Electrode principalmente por velocidade 55.3% menor e teto ofensivo 5.0% menor.</x:v>
      </x:c>
      <x:c r="X11" s="82" t="str">
        <x:v>Fica à frente de Magnemite porque possui robustez sustentada 131.5% maior e ofensiva secundária 65.7% maior.</x:v>
      </x:c>
      <x:c r="Y11" s="154" t="str">
        <x:v>https://poke.idleworld.online/pokepedia/pokemon/lanturn</x:v>
      </x:c>
    </x:row>
    <x:row r="12" ht="48" customHeight="1">
      <x:c r="A12" s="82" t="n">
        <x:f>IF(U12&lt;&gt;"Rankeado","",COUNTIFS($U$5:$U$21,"Rankeado",$I$5:$I$21,"&gt;"&amp;I12)+COUNTIFS($U$5:U12,"Rankeado",$I$5:I12,I12))</x:f>
        <x:v>8</x:v>
      </x:c>
      <x:c r="B12" s="82" t="n">
        <x:f>COUNTIF($I$5:$I$21,"&gt;"&amp;I12)+COUNTIF($I$5:I12,I12)</x:f>
        <x:v>10</x:v>
      </x:c>
      <x:c r="C12" s="82" t="str">
        <x:f>IF(I12&gt;=80,"S+",IF(I12&gt;=72,"S",IF(I12&gt;=65,"A",IF(I12&gt;=58,"B",IF(I12&gt;=50,"C",IF(I12&gt;=42,"D","E"))))))</x:f>
        <x:v>D</x:v>
      </x:c>
      <x:c r="D12" s="82" t="str">
        <x:f>IF(AND(U12="Rankeado",A12&lt;=6),"Sim","Não")</x:f>
        <x:v>Não</x:v>
      </x:c>
      <x:c r="E12" s="82" t="n">
        <x:v>81</x:v>
      </x:c>
      <x:c r="F12" s="80" t="str">
        <x:v>Magnemite</x:v>
      </x:c>
      <x:c r="G12" s="82" t="str">
        <x:v>Elétrico / Aço</x:v>
      </x:c>
      <x:c r="H12" s="82" t="str">
        <x:v>Especial</x:v>
      </x:c>
      <x:c r="I12" s="142" t="n">
        <x:f>ROUND(100*(Metodologia!$B$17*(Q12/Metodologia!$B$22)+Metodologia!$B$18*(R12/Metodologia!$B$23)+Metodologia!$B$19*(S12/Metodologia!$B$24)+Metodologia!$B$20*(P12/Metodologia!$B$25)+Metodologia!$B$21*(J12/Metodologia!$B$26)),2)</x:f>
        <x:v>49.95</x:v>
      </x:c>
      <x:c r="J12" s="82" t="n">
        <x:f>SUM(K12:P12)</x:f>
        <x:v>325</x:v>
      </x:c>
      <x:c r="K12" s="82" t="n">
        <x:v>25</x:v>
      </x:c>
      <x:c r="L12" s="82" t="n">
        <x:v>35</x:v>
      </x:c>
      <x:c r="M12" s="82" t="n">
        <x:v>70</x:v>
      </x:c>
      <x:c r="N12" s="82" t="n">
        <x:v>95</x:v>
      </x:c>
      <x:c r="O12" s="82" t="n">
        <x:v>55</x:v>
      </x:c>
      <x:c r="P12" s="82" t="n">
        <x:v>45</x:v>
      </x:c>
      <x:c r="Q12" s="143" t="n">
        <x:f>MAX(L12,N12)*Metodologia!$B$16</x:f>
        <x:v>123.5</x:v>
      </x:c>
      <x:c r="R12" s="143" t="n">
        <x:f>MIN(L12,N12)*Metodologia!$B$16</x:f>
        <x:v>45.5</x:v>
      </x:c>
      <x:c r="S12" s="143" t="n">
        <x:f>SQRT(K12*AVERAGE(M12,O12)*Metodologia!$B$16)</x:f>
        <x:v>45.069390943299865</x:v>
      </x:c>
      <x:c r="T12" s="82" t="str">
        <x:v>Sim</x:v>
      </x:c>
      <x:c r="U12" s="82" t="str">
        <x:v>Rankeado</x:v>
      </x:c>
      <x:c r="V12" s="82" t="str">
        <x:v>Perfil especial; melhor atributo ofensivo 95, ofensiva secundária 35, robustez relativa 29% e Speed 45. O índice privilegia dano de hunt, sem ignorar sobrevivência.</x:v>
      </x:c>
      <x:c r="W12" s="82" t="str">
        <x:v>Fica atrás de Lanturn principalmente por robustez sustentada 56.8% menor e ofensiva secundária 39.7% menor.</x:v>
      </x:c>
      <x:c r="X12" s="82" t="str">
        <x:v>Fica à frente de Flaaffy porque possui teto ofensivo 18.8% maior.</x:v>
      </x:c>
      <x:c r="Y12" s="154" t="str">
        <x:v>https://poke.idleworld.online/pokepedia/pokemon/magnemite</x:v>
      </x:c>
    </x:row>
    <x:row r="13" ht="48" customHeight="1">
      <x:c r="A13" s="82" t="n">
        <x:f>IF(U13&lt;&gt;"Rankeado","",COUNTIFS($U$5:$U$21,"Rankeado",$I$5:$I$21,"&gt;"&amp;I13)+COUNTIFS($U$5:U13,"Rankeado",$I$5:I13,I13))</x:f>
        <x:v>9</x:v>
      </x:c>
      <x:c r="B13" s="82" t="n">
        <x:f>COUNTIF($I$5:$I$21,"&gt;"&amp;I13)+COUNTIF($I$5:I13,I13)</x:f>
        <x:v>11</x:v>
      </x:c>
      <x:c r="C13" s="82" t="str">
        <x:f>IF(I13&gt;=80,"S+",IF(I13&gt;=72,"S",IF(I13&gt;=65,"A",IF(I13&gt;=58,"B",IF(I13&gt;=50,"C",IF(I13&gt;=42,"D","E"))))))</x:f>
        <x:v>D</x:v>
      </x:c>
      <x:c r="D13" s="82" t="str">
        <x:f>IF(AND(U13="Rankeado",A13&lt;=6),"Sim","Não")</x:f>
        <x:v>Não</x:v>
      </x:c>
      <x:c r="E13" s="82" t="n">
        <x:v>180</x:v>
      </x:c>
      <x:c r="F13" s="80" t="str">
        <x:v>Flaaffy</x:v>
      </x:c>
      <x:c r="G13" s="82" t="str">
        <x:v>Elétrico</x:v>
      </x:c>
      <x:c r="H13" s="82" t="str">
        <x:v>Especial</x:v>
      </x:c>
      <x:c r="I13" s="142" t="n">
        <x:f>ROUND(100*(Metodologia!$B$17*(Q13/Metodologia!$B$22)+Metodologia!$B$18*(R13/Metodologia!$B$23)+Metodologia!$B$19*(S13/Metodologia!$B$24)+Metodologia!$B$20*(P13/Metodologia!$B$25)+Metodologia!$B$21*(J13/Metodologia!$B$26)),2)</x:f>
        <x:v>48.85</x:v>
      </x:c>
      <x:c r="J13" s="82" t="n">
        <x:f>SUM(K13:P13)</x:f>
        <x:v>365</x:v>
      </x:c>
      <x:c r="K13" s="82" t="n">
        <x:v>70</x:v>
      </x:c>
      <x:c r="L13" s="82" t="n">
        <x:v>55</x:v>
      </x:c>
      <x:c r="M13" s="82" t="n">
        <x:v>55</x:v>
      </x:c>
      <x:c r="N13" s="82" t="n">
        <x:v>80</x:v>
      </x:c>
      <x:c r="O13" s="82" t="n">
        <x:v>60</x:v>
      </x:c>
      <x:c r="P13" s="82" t="n">
        <x:v>45</x:v>
      </x:c>
      <x:c r="Q13" s="143" t="n">
        <x:f>MAX(L13,N13)*Metodologia!$B$16</x:f>
        <x:v>104</x:v>
      </x:c>
      <x:c r="R13" s="143" t="n">
        <x:f>MIN(L13,N13)*Metodologia!$B$16</x:f>
        <x:v>71.5</x:v>
      </x:c>
      <x:c r="S13" s="143" t="n">
        <x:f>SQRT(K13*AVERAGE(M13,O13)*Metodologia!$B$16)</x:f>
        <x:v>72.33602145542703</x:v>
      </x:c>
      <x:c r="T13" s="82" t="str">
        <x:v>Sim</x:v>
      </x:c>
      <x:c r="U13" s="82" t="str">
        <x:v>Rankeado</x:v>
      </x:c>
      <x:c r="V13" s="82" t="str">
        <x:v>Perfil especial; melhor atributo ofensivo 80, ofensiva secundária 55, robustez relativa 47% e Speed 45. O índice privilegia dano de hunt, sem ignorar sobrevivência.</x:v>
      </x:c>
      <x:c r="W13" s="82" t="str">
        <x:v>Fica atrás de Magnemite principalmente por teto ofensivo 15.8% menor.</x:v>
      </x:c>
      <x:c r="X13" s="82" t="str">
        <x:v>Fica à frente de Elekid porque possui teto ofensivo 23.1% maior e robustez sustentada 39.4% maior.</x:v>
      </x:c>
      <x:c r="Y13" s="154" t="str">
        <x:v>https://poke.idleworld.online/pokepedia/pokemon/flaaffy</x:v>
      </x:c>
    </x:row>
    <x:row r="14" ht="48" customHeight="1">
      <x:c r="A14" s="82" t="n">
        <x:f>IF(U14&lt;&gt;"Rankeado","",COUNTIFS($U$5:$U$21,"Rankeado",$I$5:$I$21,"&gt;"&amp;I14)+COUNTIFS($U$5:U14,"Rankeado",$I$5:I14,I14))</x:f>
        <x:v>10</x:v>
      </x:c>
      <x:c r="B14" s="82" t="n">
        <x:f>COUNTIF($I$5:$I$21,"&gt;"&amp;I14)+COUNTIF($I$5:I14,I14)</x:f>
        <x:v>12</x:v>
      </x:c>
      <x:c r="C14" s="82" t="str">
        <x:f>IF(I14&gt;=80,"S+",IF(I14&gt;=72,"S",IF(I14&gt;=65,"A",IF(I14&gt;=58,"B",IF(I14&gt;=50,"C",IF(I14&gt;=42,"D","E"))))))</x:f>
        <x:v>D</x:v>
      </x:c>
      <x:c r="D14" s="82" t="str">
        <x:f>IF(AND(U14="Rankeado",A14&lt;=6),"Sim","Não")</x:f>
        <x:v>Não</x:v>
      </x:c>
      <x:c r="E14" s="82" t="n">
        <x:v>239</x:v>
      </x:c>
      <x:c r="F14" s="80" t="str">
        <x:v>Elekid</x:v>
      </x:c>
      <x:c r="G14" s="82" t="str">
        <x:v>Elétrico</x:v>
      </x:c>
      <x:c r="H14" s="82" t="str">
        <x:v>Misto</x:v>
      </x:c>
      <x:c r="I14" s="142" t="n">
        <x:f>ROUND(100*(Metodologia!$B$17*(Q14/Metodologia!$B$22)+Metodologia!$B$18*(R14/Metodologia!$B$23)+Metodologia!$B$19*(S14/Metodologia!$B$24)+Metodologia!$B$20*(P14/Metodologia!$B$25)+Metodologia!$B$21*(J14/Metodologia!$B$26)),2)</x:f>
        <x:v>45.05</x:v>
      </x:c>
      <x:c r="J14" s="82" t="n">
        <x:f>SUM(K14:P14)</x:f>
        <x:v>360</x:v>
      </x:c>
      <x:c r="K14" s="82" t="n">
        <x:v>45</x:v>
      </x:c>
      <x:c r="L14" s="82" t="n">
        <x:v>63</x:v>
      </x:c>
      <x:c r="M14" s="82" t="n">
        <x:v>37</x:v>
      </x:c>
      <x:c r="N14" s="82" t="n">
        <x:v>65</x:v>
      </x:c>
      <x:c r="O14" s="82" t="n">
        <x:v>55</x:v>
      </x:c>
      <x:c r="P14" s="82" t="n">
        <x:v>95</x:v>
      </x:c>
      <x:c r="Q14" s="143" t="n">
        <x:f>MAX(L14,N14)*Metodologia!$B$16</x:f>
        <x:v>84.5</x:v>
      </x:c>
      <x:c r="R14" s="143" t="n">
        <x:f>MIN(L14,N14)*Metodologia!$B$16</x:f>
        <x:v>81.9</x:v>
      </x:c>
      <x:c r="S14" s="143" t="n">
        <x:f>SQRT(K14*AVERAGE(M14,O14)*Metodologia!$B$16)</x:f>
        <x:v>51.87484939737175</x:v>
      </x:c>
      <x:c r="T14" s="82" t="str">
        <x:v>Sim</x:v>
      </x:c>
      <x:c r="U14" s="82" t="str">
        <x:v>Rankeado</x:v>
      </x:c>
      <x:c r="V14" s="82" t="str">
        <x:v>Perfil misto; melhor atributo ofensivo 65, ofensiva secundária 63, robustez relativa 33% e Speed 95. O índice privilegia dano de hunt, sem ignorar sobrevivência.</x:v>
      </x:c>
      <x:c r="W14" s="82" t="str">
        <x:v>Fica atrás de Flaaffy principalmente por teto ofensivo 18.8% menor e robustez sustentada 28.3% menor.</x:v>
      </x:c>
      <x:c r="X14" s="82" t="str">
        <x:v>Fica à frente de Chinchou porque possui teto ofensivo 16.1% maior e ofensiva secundária 65.8% maior.</x:v>
      </x:c>
      <x:c r="Y14" s="154" t="str">
        <x:v>https://poke.idleworld.online/pokepedia/pokemon/elekid</x:v>
      </x:c>
    </x:row>
    <x:row r="15" ht="48" customHeight="1">
      <x:c r="A15" s="82" t="n">
        <x:f>IF(U15&lt;&gt;"Rankeado","",COUNTIFS($U$5:$U$21,"Rankeado",$I$5:$I$21,"&gt;"&amp;I15)+COUNTIFS($U$5:U15,"Rankeado",$I$5:I15,I15))</x:f>
        <x:v>11</x:v>
      </x:c>
      <x:c r="B15" s="82" t="n">
        <x:f>COUNTIF($I$5:$I$21,"&gt;"&amp;I15)+COUNTIF($I$5:I15,I15)</x:f>
        <x:v>13</x:v>
      </x:c>
      <x:c r="C15" s="82" t="str">
        <x:f>IF(I15&gt;=80,"S+",IF(I15&gt;=72,"S",IF(I15&gt;=65,"A",IF(I15&gt;=58,"B",IF(I15&gt;=50,"C",IF(I15&gt;=42,"D","E"))))))</x:f>
        <x:v>E</x:v>
      </x:c>
      <x:c r="D15" s="82" t="str">
        <x:f>IF(AND(U15="Rankeado",A15&lt;=6),"Sim","Não")</x:f>
        <x:v>Não</x:v>
      </x:c>
      <x:c r="E15" s="82" t="n">
        <x:v>170</x:v>
      </x:c>
      <x:c r="F15" s="80" t="str">
        <x:v>Chinchou</x:v>
      </x:c>
      <x:c r="G15" s="82" t="str">
        <x:v>Água / Elétrico</x:v>
      </x:c>
      <x:c r="H15" s="82" t="str">
        <x:v>Especial</x:v>
      </x:c>
      <x:c r="I15" s="142" t="n">
        <x:f>ROUND(100*(Metodologia!$B$17*(Q15/Metodologia!$B$22)+Metodologia!$B$18*(R15/Metodologia!$B$23)+Metodologia!$B$19*(S15/Metodologia!$B$24)+Metodologia!$B$20*(P15/Metodologia!$B$25)+Metodologia!$B$21*(J15/Metodologia!$B$26)),2)</x:f>
        <x:v>38.72</x:v>
      </x:c>
      <x:c r="J15" s="82" t="n">
        <x:f>SUM(K15:P15)</x:f>
        <x:v>330</x:v>
      </x:c>
      <x:c r="K15" s="82" t="n">
        <x:v>75</x:v>
      </x:c>
      <x:c r="L15" s="82" t="n">
        <x:v>38</x:v>
      </x:c>
      <x:c r="M15" s="82" t="n">
        <x:v>38</x:v>
      </x:c>
      <x:c r="N15" s="82" t="n">
        <x:v>56</x:v>
      </x:c>
      <x:c r="O15" s="82" t="n">
        <x:v>56</x:v>
      </x:c>
      <x:c r="P15" s="82" t="n">
        <x:v>67</x:v>
      </x:c>
      <x:c r="Q15" s="143" t="n">
        <x:f>MAX(L15,N15)*Metodologia!$B$16</x:f>
        <x:v>72.8</x:v>
      </x:c>
      <x:c r="R15" s="143" t="n">
        <x:f>MIN(L15,N15)*Metodologia!$B$16</x:f>
        <x:v>49.4</x:v>
      </x:c>
      <x:c r="S15" s="143" t="n">
        <x:f>SQRT(K15*AVERAGE(M15,O15)*Metodologia!$B$16)</x:f>
        <x:v>67.6941651843052</x:v>
      </x:c>
      <x:c r="T15" s="82" t="str">
        <x:v>Sim</x:v>
      </x:c>
      <x:c r="U15" s="82" t="str">
        <x:v>Rankeado</x:v>
      </x:c>
      <x:c r="V15" s="82" t="str">
        <x:v>Perfil especial; melhor atributo ofensivo 56, ofensiva secundária 38, robustez relativa 44% e Speed 67. O índice privilegia dano de hunt, sem ignorar sobrevivência.</x:v>
      </x:c>
      <x:c r="W15" s="82" t="str">
        <x:v>Fica atrás de Elekid principalmente por teto ofensivo 13.8% menor e ofensiva secundária 39.7% menor.</x:v>
      </x:c>
      <x:c r="X15" s="82" t="str">
        <x:v>Fica à frente de Pikachu porque possui robustez sustentada 49.6% maior e teto ofensivo 1.8% maior.</x:v>
      </x:c>
      <x:c r="Y15" s="154" t="str">
        <x:v>https://poke.idleworld.online/pokepedia/pokemon/chinchou</x:v>
      </x:c>
    </x:row>
    <x:row r="16" ht="48" customHeight="1">
      <x:c r="A16" s="82" t="n">
        <x:f>IF(U16&lt;&gt;"Rankeado","",COUNTIFS($U$5:$U$21,"Rankeado",$I$5:$I$21,"&gt;"&amp;I16)+COUNTIFS($U$5:U16,"Rankeado",$I$5:I16,I16))</x:f>
        <x:v>12</x:v>
      </x:c>
      <x:c r="B16" s="82" t="n">
        <x:f>COUNTIF($I$5:$I$21,"&gt;"&amp;I16)+COUNTIF($I$5:I16,I16)</x:f>
        <x:v>14</x:v>
      </x:c>
      <x:c r="C16" s="82" t="str">
        <x:f>IF(I16&gt;=80,"S+",IF(I16&gt;=72,"S",IF(I16&gt;=65,"A",IF(I16&gt;=58,"B",IF(I16&gt;=50,"C",IF(I16&gt;=42,"D","E"))))))</x:f>
        <x:v>E</x:v>
      </x:c>
      <x:c r="D16" s="82" t="str">
        <x:f>IF(AND(U16="Rankeado",A16&lt;=6),"Sim","Não")</x:f>
        <x:v>Não</x:v>
      </x:c>
      <x:c r="E16" s="82" t="n">
        <x:v>25</x:v>
      </x:c>
      <x:c r="F16" s="80" t="str">
        <x:v>Pikachu</x:v>
      </x:c>
      <x:c r="G16" s="82" t="str">
        <x:v>Elétrico</x:v>
      </x:c>
      <x:c r="H16" s="82" t="str">
        <x:v>Misto</x:v>
      </x:c>
      <x:c r="I16" s="142" t="n">
        <x:f>ROUND(100*(Metodologia!$B$17*(Q16/Metodologia!$B$22)+Metodologia!$B$18*(R16/Metodologia!$B$23)+Metodologia!$B$19*(S16/Metodologia!$B$24)+Metodologia!$B$20*(P16/Metodologia!$B$25)+Metodologia!$B$21*(J16/Metodologia!$B$26)),2)</x:f>
        <x:v>38.71</x:v>
      </x:c>
      <x:c r="J16" s="82" t="n">
        <x:f>SUM(K16:P16)</x:f>
        <x:v>320</x:v>
      </x:c>
      <x:c r="K16" s="82" t="n">
        <x:v>35</x:v>
      </x:c>
      <x:c r="L16" s="82" t="n">
        <x:v>55</x:v>
      </x:c>
      <x:c r="M16" s="82" t="n">
        <x:v>40</x:v>
      </x:c>
      <x:c r="N16" s="82" t="n">
        <x:v>50</x:v>
      </x:c>
      <x:c r="O16" s="82" t="n">
        <x:v>50</x:v>
      </x:c>
      <x:c r="P16" s="82" t="n">
        <x:v>90</x:v>
      </x:c>
      <x:c r="Q16" s="143" t="n">
        <x:f>MAX(L16,N16)*Metodologia!$B$16</x:f>
        <x:v>71.5</x:v>
      </x:c>
      <x:c r="R16" s="143" t="n">
        <x:f>MIN(L16,N16)*Metodologia!$B$16</x:f>
        <x:v>65</x:v>
      </x:c>
      <x:c r="S16" s="143" t="n">
        <x:f>SQRT(K16*AVERAGE(M16,O16)*Metodologia!$B$16)</x:f>
        <x:v>45.249309386995066</x:v>
      </x:c>
      <x:c r="T16" s="82" t="str">
        <x:v>Sim</x:v>
      </x:c>
      <x:c r="U16" s="82" t="str">
        <x:v>Rankeado</x:v>
      </x:c>
      <x:c r="V16" s="82" t="str">
        <x:v>Perfil misto; melhor atributo ofensivo 55, ofensiva secundária 50, robustez relativa 29% e Speed 90. O índice privilegia dano de hunt, sem ignorar sobrevivência.</x:v>
      </x:c>
      <x:c r="W16" s="82" t="str">
        <x:v>Fica atrás de Chinchou principalmente por robustez sustentada 33.2% menor e teto ofensivo 1.8% menor.</x:v>
      </x:c>
      <x:c r="X16" s="82" t="str">
        <x:v>Fica à frente de Mareep porque possui velocidade 157.1% maior e ofensiva secundária 25.0% maior.</x:v>
      </x:c>
      <x:c r="Y16" s="154" t="str">
        <x:v>https://poke.idleworld.online/pokepedia/pokemon/pikachu</x:v>
      </x:c>
    </x:row>
    <x:row r="17" ht="48" customHeight="1">
      <x:c r="A17" s="82" t="n">
        <x:f>IF(U17&lt;&gt;"Rankeado","",COUNTIFS($U$5:$U$21,"Rankeado",$I$5:$I$21,"&gt;"&amp;I17)+COUNTIFS($U$5:U17,"Rankeado",$I$5:I17,I17))</x:f>
        <x:v>13</x:v>
      </x:c>
      <x:c r="B17" s="82" t="n">
        <x:f>COUNTIF($I$5:$I$21,"&gt;"&amp;I17)+COUNTIF($I$5:I17,I17)</x:f>
        <x:v>15</x:v>
      </x:c>
      <x:c r="C17" s="82" t="str">
        <x:f>IF(I17&gt;=80,"S+",IF(I17&gt;=72,"S",IF(I17&gt;=65,"A",IF(I17&gt;=58,"B",IF(I17&gt;=50,"C",IF(I17&gt;=42,"D","E"))))))</x:f>
        <x:v>E</x:v>
      </x:c>
      <x:c r="D17" s="82" t="str">
        <x:f>IF(AND(U17="Rankeado",A17&lt;=6),"Sim","Não")</x:f>
        <x:v>Não</x:v>
      </x:c>
      <x:c r="E17" s="82" t="n">
        <x:v>179</x:v>
      </x:c>
      <x:c r="F17" s="80" t="str">
        <x:v>Mareep</x:v>
      </x:c>
      <x:c r="G17" s="82" t="str">
        <x:v>Elétrico</x:v>
      </x:c>
      <x:c r="H17" s="82" t="str">
        <x:v>Especial</x:v>
      </x:c>
      <x:c r="I17" s="142" t="n">
        <x:f>ROUND(100*(Metodologia!$B$17*(Q17/Metodologia!$B$22)+Metodologia!$B$18*(R17/Metodologia!$B$23)+Metodologia!$B$19*(S17/Metodologia!$B$24)+Metodologia!$B$20*(P17/Metodologia!$B$25)+Metodologia!$B$21*(J17/Metodologia!$B$26)),2)</x:f>
        <x:v>38.69</x:v>
      </x:c>
      <x:c r="J17" s="82" t="n">
        <x:f>SUM(K17:P17)</x:f>
        <x:v>280</x:v>
      </x:c>
      <x:c r="K17" s="82" t="n">
        <x:v>55</x:v>
      </x:c>
      <x:c r="L17" s="82" t="n">
        <x:v>40</x:v>
      </x:c>
      <x:c r="M17" s="82" t="n">
        <x:v>40</x:v>
      </x:c>
      <x:c r="N17" s="82" t="n">
        <x:v>65</x:v>
      </x:c>
      <x:c r="O17" s="82" t="n">
        <x:v>45</x:v>
      </x:c>
      <x:c r="P17" s="82" t="n">
        <x:v>35</x:v>
      </x:c>
      <x:c r="Q17" s="143" t="n">
        <x:f>MAX(L17,N17)*Metodologia!$B$16</x:f>
        <x:v>84.5</x:v>
      </x:c>
      <x:c r="R17" s="143" t="n">
        <x:f>MIN(L17,N17)*Metodologia!$B$16</x:f>
        <x:v>52</x:v>
      </x:c>
      <x:c r="S17" s="143" t="n">
        <x:f>SQRT(K17*AVERAGE(M17,O17)*Metodologia!$B$16)</x:f>
        <x:v>55.12485827646181</x:v>
      </x:c>
      <x:c r="T17" s="82" t="str">
        <x:v>Sim</x:v>
      </x:c>
      <x:c r="U17" s="82" t="str">
        <x:v>Rankeado</x:v>
      </x:c>
      <x:c r="V17" s="82" t="str">
        <x:v>Perfil especial; melhor atributo ofensivo 65, ofensiva secundária 40, robustez relativa 36% e Speed 35. O índice privilegia dano de hunt, sem ignorar sobrevivência.</x:v>
      </x:c>
      <x:c r="W17" s="82" t="str">
        <x:v>Fica atrás de Pikachu principalmente por velocidade 61.1% menor e ofensiva secundária 20.0% menor.</x:v>
      </x:c>
      <x:c r="X17" s="82" t="str">
        <x:v>Fica à frente de Voltorb porque possui teto ofensivo 18.2% maior e ofensiva secundária 33.3% maior.</x:v>
      </x:c>
      <x:c r="Y17" s="154" t="str">
        <x:v>https://poke.idleworld.online/pokepedia/pokemon/mareep</x:v>
      </x:c>
    </x:row>
    <x:row r="18" ht="48" customHeight="1">
      <x:c r="A18" s="82" t="n">
        <x:f>IF(U18&lt;&gt;"Rankeado","",COUNTIFS($U$5:$U$21,"Rankeado",$I$5:$I$21,"&gt;"&amp;I18)+COUNTIFS($U$5:U18,"Rankeado",$I$5:I18,I18))</x:f>
        <x:v>14</x:v>
      </x:c>
      <x:c r="B18" s="82" t="n">
        <x:f>COUNTIF($I$5:$I$21,"&gt;"&amp;I18)+COUNTIF($I$5:I18,I18)</x:f>
        <x:v>16</x:v>
      </x:c>
      <x:c r="C18" s="82" t="str">
        <x:f>IF(I18&gt;=80,"S+",IF(I18&gt;=72,"S",IF(I18&gt;=65,"A",IF(I18&gt;=58,"B",IF(I18&gt;=50,"C",IF(I18&gt;=42,"D","E"))))))</x:f>
        <x:v>E</x:v>
      </x:c>
      <x:c r="D18" s="82" t="str">
        <x:f>IF(AND(U18="Rankeado",A18&lt;=6),"Sim","Não")</x:f>
        <x:v>Não</x:v>
      </x:c>
      <x:c r="E18" s="82" t="n">
        <x:v>100</x:v>
      </x:c>
      <x:c r="F18" s="80" t="str">
        <x:v>Voltorb</x:v>
      </x:c>
      <x:c r="G18" s="82" t="str">
        <x:v>Elétrico</x:v>
      </x:c>
      <x:c r="H18" s="82" t="str">
        <x:v>Especial</x:v>
      </x:c>
      <x:c r="I18" s="142" t="n">
        <x:f>ROUND(100*(Metodologia!$B$17*(Q18/Metodologia!$B$22)+Metodologia!$B$18*(R18/Metodologia!$B$23)+Metodologia!$B$19*(S18/Metodologia!$B$24)+Metodologia!$B$20*(P18/Metodologia!$B$25)+Metodologia!$B$21*(J18/Metodologia!$B$26)),2)</x:f>
        <x:v>38.3</x:v>
      </x:c>
      <x:c r="J18" s="82" t="n">
        <x:f>SUM(K18:P18)</x:f>
        <x:v>330</x:v>
      </x:c>
      <x:c r="K18" s="82" t="n">
        <x:v>40</x:v>
      </x:c>
      <x:c r="L18" s="82" t="n">
        <x:v>30</x:v>
      </x:c>
      <x:c r="M18" s="82" t="n">
        <x:v>50</x:v>
      </x:c>
      <x:c r="N18" s="82" t="n">
        <x:v>55</x:v>
      </x:c>
      <x:c r="O18" s="82" t="n">
        <x:v>55</x:v>
      </x:c>
      <x:c r="P18" s="82" t="n">
        <x:v>100</x:v>
      </x:c>
      <x:c r="Q18" s="143" t="n">
        <x:f>MAX(L18,N18)*Metodologia!$B$16</x:f>
        <x:v>71.5</x:v>
      </x:c>
      <x:c r="R18" s="143" t="n">
        <x:f>MIN(L18,N18)*Metodologia!$B$16</x:f>
        <x:v>39</x:v>
      </x:c>
      <x:c r="S18" s="143" t="n">
        <x:f>SQRT(K18*AVERAGE(M18,O18)*Metodologia!$B$16)</x:f>
        <x:v>52.24940191045253</x:v>
      </x:c>
      <x:c r="T18" s="82" t="str">
        <x:v>Sim</x:v>
      </x:c>
      <x:c r="U18" s="82" t="str">
        <x:v>Rankeado</x:v>
      </x:c>
      <x:c r="V18" s="82" t="str">
        <x:v>Perfil especial; melhor atributo ofensivo 55, ofensiva secundária 30, robustez relativa 34% e Speed 100. O índice privilegia dano de hunt, sem ignorar sobrevivência.</x:v>
      </x:c>
      <x:c r="W18" s="82" t="str">
        <x:v>Fica atrás de Mareep principalmente por teto ofensivo 15.4% menor e ofensiva secundária 25.0% menor.</x:v>
      </x:c>
      <x:c r="X18" s="82" t="str">
        <x:v>Fica à frente de Pichu porque possui teto ofensivo 37.5% maior e velocidade 66.7% maior.</x:v>
      </x:c>
      <x:c r="Y18" s="154" t="str">
        <x:v>https://poke.idleworld.online/pokepedia/pokemon/voltorb</x:v>
      </x:c>
    </x:row>
    <x:row r="19" ht="48" customHeight="1">
      <x:c r="A19" s="82" t="n">
        <x:f>IF(U19&lt;&gt;"Rankeado","",COUNTIFS($U$5:$U$21,"Rankeado",$I$5:$I$21,"&gt;"&amp;I19)+COUNTIFS($U$5:U19,"Rankeado",$I$5:I19,I19))</x:f>
        <x:v>15</x:v>
      </x:c>
      <x:c r="B19" s="82" t="n">
        <x:f>COUNTIF($I$5:$I$21,"&gt;"&amp;I19)+COUNTIF($I$5:I19,I19)</x:f>
        <x:v>17</x:v>
      </x:c>
      <x:c r="C19" s="82" t="str">
        <x:f>IF(I19&gt;=80,"S+",IF(I19&gt;=72,"S",IF(I19&gt;=65,"A",IF(I19&gt;=58,"B",IF(I19&gt;=50,"C",IF(I19&gt;=42,"D","E"))))))</x:f>
        <x:v>E</x:v>
      </x:c>
      <x:c r="D19" s="82" t="str">
        <x:f>IF(AND(U19="Rankeado",A19&lt;=6),"Sim","Não")</x:f>
        <x:v>Não</x:v>
      </x:c>
      <x:c r="E19" s="82" t="n">
        <x:v>172</x:v>
      </x:c>
      <x:c r="F19" s="80" t="str">
        <x:v>Pichu</x:v>
      </x:c>
      <x:c r="G19" s="82" t="str">
        <x:v>Elétrico</x:v>
      </x:c>
      <x:c r="H19" s="82" t="str">
        <x:v>Misto</x:v>
      </x:c>
      <x:c r="I19" s="142" t="n">
        <x:f>ROUND(100*(Metodologia!$B$17*(Q19/Metodologia!$B$22)+Metodologia!$B$18*(R19/Metodologia!$B$23)+Metodologia!$B$19*(S19/Metodologia!$B$24)+Metodologia!$B$20*(P19/Metodologia!$B$25)+Metodologia!$B$21*(J19/Metodologia!$B$26)),2)</x:f>
        <x:v>26.74</x:v>
      </x:c>
      <x:c r="J19" s="82" t="n">
        <x:f>SUM(K19:P19)</x:f>
        <x:v>205</x:v>
      </x:c>
      <x:c r="K19" s="82" t="n">
        <x:v>20</x:v>
      </x:c>
      <x:c r="L19" s="82" t="n">
        <x:v>40</x:v>
      </x:c>
      <x:c r="M19" s="82" t="n">
        <x:v>15</x:v>
      </x:c>
      <x:c r="N19" s="82" t="n">
        <x:v>35</x:v>
      </x:c>
      <x:c r="O19" s="82" t="n">
        <x:v>35</x:v>
      </x:c>
      <x:c r="P19" s="82" t="n">
        <x:v>60</x:v>
      </x:c>
      <x:c r="Q19" s="143" t="n">
        <x:f>MAX(L19,N19)*Metodologia!$B$16</x:f>
        <x:v>52</x:v>
      </x:c>
      <x:c r="R19" s="143" t="n">
        <x:f>MIN(L19,N19)*Metodologia!$B$16</x:f>
        <x:v>45.5</x:v>
      </x:c>
      <x:c r="S19" s="143" t="n">
        <x:f>SQRT(K19*AVERAGE(M19,O19)*Metodologia!$B$16)</x:f>
        <x:v>25.495097567963924</x:v>
      </x:c>
      <x:c r="T19" s="82" t="str">
        <x:v>Sim</x:v>
      </x:c>
      <x:c r="U19" s="82" t="str">
        <x:v>Rankeado</x:v>
      </x:c>
      <x:c r="V19" s="82" t="str">
        <x:v>Perfil misto; melhor atributo ofensivo 40, ofensiva secundária 35, robustez relativa 16% e Speed 60. O índice privilegia dano de hunt, sem ignorar sobrevivência.</x:v>
      </x:c>
      <x:c r="W19" s="82" t="str">
        <x:v>Fica atrás de Voltorb principalmente por teto ofensivo 27.3% menor e velocidade 40.0% menor.</x:v>
      </x:c>
      <x:c r="X19" s="82" t="str">
        <x:v>É o último utilizável deste clã.</x:v>
      </x:c>
      <x:c r="Y19" s="154" t="str">
        <x:v>https://poke.idleworld.online/pokepedia/pokemon/pichu</x:v>
      </x:c>
    </x:row>
    <x:row r="20" ht="48" customHeight="1">
      <x:c r="A20" s="82" t="str">
        <x:f>IF(U20&lt;&gt;"Rankeado","",COUNTIFS($U$5:$U$21,"Rankeado",$I$5:$I$21,"&gt;"&amp;I20)+COUNTIFS($U$5:U20,"Rankeado",$I$5:I20,I20))</x:f>
      </x:c>
      <x:c r="B20" s="82" t="n">
        <x:f>COUNTIF($I$5:$I$21,"&gt;"&amp;I20)+COUNTIF($I$5:I20,I20)</x:f>
        <x:v>1</x:v>
      </x:c>
      <x:c r="C20" s="82" t="str">
        <x:f>IF(I20&gt;=80,"S+",IF(I20&gt;=72,"S",IF(I20&gt;=65,"A",IF(I20&gt;=58,"B",IF(I20&gt;=50,"C",IF(I20&gt;=42,"D","E"))))))</x:f>
        <x:v>S</x:v>
      </x:c>
      <x:c r="D20" s="82" t="str">
        <x:f>IF(AND(U20="Rankeado",A20&lt;=6),"Sim","Não")</x:f>
        <x:v>Não</x:v>
      </x:c>
      <x:c r="E20" s="82" t="n">
        <x:v>145</x:v>
      </x:c>
      <x:c r="F20" s="80" t="str">
        <x:v>Zapdos</x:v>
      </x:c>
      <x:c r="G20" s="82" t="str">
        <x:v>Elétrico / Voador</x:v>
      </x:c>
      <x:c r="H20" s="82" t="str">
        <x:v>Especial</x:v>
      </x:c>
      <x:c r="I20" s="142" t="n">
        <x:f>ROUND(100*(Metodologia!$B$17*(Q20/Metodologia!$B$22)+Metodologia!$B$18*(R20/Metodologia!$B$23)+Metodologia!$B$19*(S20/Metodologia!$B$24)+Metodologia!$B$20*(P20/Metodologia!$B$25)+Metodologia!$B$21*(J20/Metodologia!$B$26)),2)</x:f>
        <x:v>77.6</x:v>
      </x:c>
      <x:c r="J20" s="82" t="n">
        <x:f>SUM(K20:P20)</x:f>
        <x:v>580</x:v>
      </x:c>
      <x:c r="K20" s="82" t="n">
        <x:v>90</x:v>
      </x:c>
      <x:c r="L20" s="82" t="n">
        <x:v>90</x:v>
      </x:c>
      <x:c r="M20" s="82" t="n">
        <x:v>85</x:v>
      </x:c>
      <x:c r="N20" s="82" t="n">
        <x:v>125</x:v>
      </x:c>
      <x:c r="O20" s="82" t="n">
        <x:v>90</x:v>
      </x:c>
      <x:c r="P20" s="82" t="n">
        <x:v>100</x:v>
      </x:c>
      <x:c r="Q20" s="143" t="n">
        <x:f>MAX(L20,N20)*Metodologia!$B$16</x:f>
        <x:v>162.5</x:v>
      </x:c>
      <x:c r="R20" s="143" t="n">
        <x:f>MIN(L20,N20)*Metodologia!$B$16</x:f>
        <x:v>117</x:v>
      </x:c>
      <x:c r="S20" s="143" t="n">
        <x:f>SQRT(K20*AVERAGE(M20,O20)*Metodologia!$B$16)</x:f>
        <x:v>101.18053172424031</x:v>
      </x:c>
      <x:c r="T20" s="82" t="str">
        <x:v>Não</x:v>
      </x:c>
      <x:c r="U20" s="82" t="str">
        <x:v>Excluído — lendário/mítico</x:v>
      </x:c>
      <x:c r="V20" s="82" t="str">
        <x:v>Espécie lendária/mítica: mantida na auditoria, mas fora do time utilizável solicitado.</x:v>
      </x:c>
      <x:c r="W20" s="82" t="str"/>
      <x:c r="X20" s="82" t="str"/>
      <x:c r="Y20" s="154" t="str">
        <x:v>https://poke.idleworld.online/pokepedia/pokemon/zapdos</x:v>
      </x:c>
    </x:row>
    <x:row r="21" ht="48" customHeight="1">
      <x:c r="A21" s="86" t="str">
        <x:f>IF(U21&lt;&gt;"Rankeado","",COUNTIFS($U$5:$U$21,"Rankeado",$I$5:$I$21,"&gt;"&amp;I21)+COUNTIFS($U$5:U21,"Rankeado",$I$5:I21,I21))</x:f>
      </x:c>
      <x:c r="B21" s="86" t="n">
        <x:f>COUNTIF($I$5:$I$21,"&gt;"&amp;I21)+COUNTIF($I$5:I21,I21)</x:f>
        <x:v>2</x:v>
      </x:c>
      <x:c r="C21" s="86" t="str">
        <x:f>IF(I21&gt;=80,"S+",IF(I21&gt;=72,"S",IF(I21&gt;=65,"A",IF(I21&gt;=58,"B",IF(I21&gt;=50,"C",IF(I21&gt;=42,"D","E"))))))</x:f>
        <x:v>S</x:v>
      </x:c>
      <x:c r="D21" s="86" t="str">
        <x:f>IF(AND(U21="Rankeado",A21&lt;=6),"Sim","Não")</x:f>
        <x:v>Não</x:v>
      </x:c>
      <x:c r="E21" s="86" t="n">
        <x:v>243</x:v>
      </x:c>
      <x:c r="F21" s="84" t="str">
        <x:v>Raikou</x:v>
      </x:c>
      <x:c r="G21" s="86" t="str">
        <x:v>Elétrico</x:v>
      </x:c>
      <x:c r="H21" s="86" t="str">
        <x:v>Especial</x:v>
      </x:c>
      <x:c r="I21" s="145" t="n">
        <x:f>ROUND(100*(Metodologia!$B$17*(Q21/Metodologia!$B$22)+Metodologia!$B$18*(R21/Metodologia!$B$23)+Metodologia!$B$19*(S21/Metodologia!$B$24)+Metodologia!$B$20*(P21/Metodologia!$B$25)+Metodologia!$B$21*(J21/Metodologia!$B$26)),2)</x:f>
        <x:v>74.25</x:v>
      </x:c>
      <x:c r="J21" s="86" t="n">
        <x:f>SUM(K21:P21)</x:f>
        <x:v>580</x:v>
      </x:c>
      <x:c r="K21" s="86" t="n">
        <x:v>90</x:v>
      </x:c>
      <x:c r="L21" s="86" t="n">
        <x:v>85</x:v>
      </x:c>
      <x:c r="M21" s="86" t="n">
        <x:v>75</x:v>
      </x:c>
      <x:c r="N21" s="86" t="n">
        <x:v>115</x:v>
      </x:c>
      <x:c r="O21" s="86" t="n">
        <x:v>100</x:v>
      </x:c>
      <x:c r="P21" s="86" t="n">
        <x:v>115</x:v>
      </x:c>
      <x:c r="Q21" s="146" t="n">
        <x:f>MAX(L21,N21)*Metodologia!$B$16</x:f>
        <x:v>149.5</x:v>
      </x:c>
      <x:c r="R21" s="146" t="n">
        <x:f>MIN(L21,N21)*Metodologia!$B$16</x:f>
        <x:v>110.5</x:v>
      </x:c>
      <x:c r="S21" s="146" t="n">
        <x:f>SQRT(K21*AVERAGE(M21,O21)*Metodologia!$B$16)</x:f>
        <x:v>101.18053172424031</x:v>
      </x:c>
      <x:c r="T21" s="86" t="str">
        <x:v>Não</x:v>
      </x:c>
      <x:c r="U21" s="86" t="str">
        <x:v>Excluído — lendário/mítico</x:v>
      </x:c>
      <x:c r="V21" s="86" t="str">
        <x:v>Espécie lendária/mítica: mantida na auditoria, mas fora do time utilizável solicitado.</x:v>
      </x:c>
      <x:c r="W21" s="86" t="str"/>
      <x:c r="X21" s="86" t="str"/>
      <x:c r="Y21" s="155" t="str">
        <x:v>https://poke.idleworld.online/pokepedia/pokemon/raikou</x:v>
      </x:c>
    </x:row>
  </x:sheetData>
  <x:mergeCells>
    <x:mergeCell ref="A1:Y1"/>
    <x:mergeCell ref="A2:Y2"/>
  </x:mergeCells>
  <x:conditionalFormatting sqref="I5:I21">
    <x:cfRule type="colorScale" priority="1">
      <x:colorScale>
        <x:cfvo type="min"/>
        <x:cfvo type="percentile" val="50"/>
        <x:cfvo type="max"/>
        <x:color rgb="FF6B1F1A"/>
        <x:color rgb="FFD98350"/>
        <x:color rgb="FF5F9D62"/>
      </x:colorScale>
    </x:cfRule>
  </x:conditionalFormatting>
  <x:conditionalFormatting sqref="A5:Y21">
    <x:cfRule type="expression" dxfId="2" priority="2">
      <x:formula>AND($D5="Sim",$U5="Rankeado")</x:formula>
    </x:cfRule>
    <x:cfRule type="expression" dxfId="3" priority="3">
      <x:formula>$U5="Excluído — lendário/mítico"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e7683c681245a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8" hidden="0" customWidth="1"/>
    <x:col min="4" max="4" width="10" hidden="0" customWidth="1"/>
    <x:col min="5" max="5" width="7" hidden="0" customWidth="1"/>
    <x:col min="6" max="6" width="20" hidden="0" customWidth="1"/>
    <x:col min="7" max="7" width="22" hidden="0" customWidth="1"/>
    <x:col min="8" max="8" width="12" hidden="0" customWidth="1"/>
    <x:col min="9" max="9" width="11" hidden="0" customWidth="1"/>
    <x:col min="10" max="10" width="9" hidden="0" customWidth="1"/>
    <x:col min="11" max="11" width="8" hidden="0" customWidth="1"/>
    <x:col min="12" max="12" width="8" hidden="0" customWidth="1"/>
    <x:col min="13" max="13" width="8" hidden="0" customWidth="1"/>
    <x:col min="14" max="14" width="10" hidden="0" customWidth="1"/>
    <x:col min="15" max="15" width="10" hidden="0" customWidth="1"/>
    <x:col min="16" max="16" width="9" hidden="0" customWidth="1"/>
    <x:col min="17" max="17" width="18" hidden="0" customWidth="1"/>
    <x:col min="18" max="18" width="21" hidden="0" customWidth="1"/>
    <x:col min="19" max="19" width="16" hidden="0" customWidth="1"/>
    <x:col min="20" max="20" width="13" hidden="0" customWidth="1"/>
    <x:col min="21" max="21" width="23" hidden="0" customWidth="1"/>
    <x:col min="22" max="22" width="48" hidden="0" customWidth="1"/>
    <x:col min="23" max="23" width="52" hidden="0" customWidth="1"/>
    <x:col min="24" max="24" width="52" hidden="0" customWidth="1"/>
    <x:col min="25" max="25" width="56" hidden="0" customWidth="1"/>
  </x:cols>
  <x:sheetData>
    <x:row r="1" ht="34" customHeight="1">
      <x:c r="A1" s="5" t="str">
        <x:v>Orebound · ranking completo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 ht="24" customHeight="1">
      <x:c r="A2" s="12" t="str">
        <x:v>Terra / Pedra · 34 utilizáveis · time recomendado: Tyranitar · Rhydon · Donphan · Golem · Kabutops · Aerodactyl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</x:row>
    <x:row r="4">
      <x:c r="A4" s="115" t="str">
        <x:v>Posição</x:v>
      </x:c>
      <x:c r="B4" s="115" t="str">
        <x:v>Rank teórico</x:v>
      </x:c>
      <x:c r="C4" s="115" t="str">
        <x:v>Tier</x:v>
      </x:c>
      <x:c r="D4" s="115" t="str">
        <x:v>Time 6</x:v>
      </x:c>
      <x:c r="E4" s="115" t="str">
        <x:v>#</x:v>
      </x:c>
      <x:c r="F4" s="115" t="str">
        <x:v>Pokémon</x:v>
      </x:c>
      <x:c r="G4" s="115" t="str">
        <x:v>Tipos</x:v>
      </x:c>
      <x:c r="H4" s="115" t="str">
        <x:v>Perfil</x:v>
      </x:c>
      <x:c r="I4" s="115" t="str">
        <x:v>Score</x:v>
      </x:c>
      <x:c r="J4" s="115" t="str">
        <x:v>BST</x:v>
      </x:c>
      <x:c r="K4" s="115" t="str">
        <x:v>HP</x:v>
      </x:c>
      <x:c r="L4" s="115" t="str">
        <x:v>ATK</x:v>
      </x:c>
      <x:c r="M4" s="115" t="str">
        <x:v>DEF</x:v>
      </x:c>
      <x:c r="N4" s="115" t="str">
        <x:v>Sp. ATK</x:v>
      </x:c>
      <x:c r="O4" s="115" t="str">
        <x:v>Sp. DEF</x:v>
      </x:c>
      <x:c r="P4" s="115" t="str">
        <x:v>Speed</x:v>
      </x:c>
      <x:c r="Q4" s="115" t="str">
        <x:v>Teto ofensivo R5</x:v>
      </x:c>
      <x:c r="R4" s="115" t="str">
        <x:v>Ofensiva secundária R5</x:v>
      </x:c>
      <x:c r="S4" s="115" t="str">
        <x:v>Robustez R5</x:v>
      </x:c>
      <x:c r="T4" s="115" t="str">
        <x:v>Hunt Kanto</x:v>
      </x:c>
      <x:c r="U4" s="115" t="str">
        <x:v>Status</x:v>
      </x:c>
      <x:c r="V4" s="115" t="str">
        <x:v>Leitura técnica</x:v>
      </x:c>
      <x:c r="W4" s="115" t="str">
        <x:v>Por que abaixo do anterior</x:v>
      </x:c>
      <x:c r="X4" s="115" t="str">
        <x:v>Por que acima do seguinte</x:v>
      </x:c>
      <x:c r="Y4" s="115" t="str">
        <x:v>Fonte</x:v>
      </x:c>
    </x:row>
    <x:row r="5" ht="48" customHeight="1">
      <x:c r="A5" s="82" t="n">
        <x:f>IF(U5&lt;&gt;"Rankeado","",COUNTIFS($U$5:$U$38,"Rankeado",$I$5:$I$38,"&gt;"&amp;I5)+COUNTIFS($U$5:U5,"Rankeado",$I$5:I5,I5))</x:f>
        <x:v>1</x:v>
      </x:c>
      <x:c r="B5" s="82" t="n">
        <x:f>COUNTIF($I$5:$I$38,"&gt;"&amp;I5)+COUNTIF($I$5:I5,I5)</x:f>
        <x:v>1</x:v>
      </x:c>
      <x:c r="C5" s="82" t="str">
        <x:f>IF(I5&gt;=80,"S+",IF(I5&gt;=72,"S",IF(I5&gt;=65,"A",IF(I5&gt;=58,"B",IF(I5&gt;=50,"C",IF(I5&gt;=42,"D","E"))))))</x:f>
        <x:v>S+</x:v>
      </x:c>
      <x:c r="D5" s="82" t="str">
        <x:f>IF(AND(U5="Rankeado",A5&lt;=6),"Sim","Não")</x:f>
        <x:v>Sim</x:v>
      </x:c>
      <x:c r="E5" s="82" t="n">
        <x:v>248</x:v>
      </x:c>
      <x:c r="F5" s="80" t="str">
        <x:v>Tyranitar</x:v>
      </x:c>
      <x:c r="G5" s="82" t="str">
        <x:v>Pedra / Sombrio</x:v>
      </x:c>
      <x:c r="H5" s="82" t="str">
        <x:v>Físico</x:v>
      </x:c>
      <x:c r="I5" s="142" t="n">
        <x:f>ROUND(100*(Metodologia!$B$17*(Q5/Metodologia!$B$22)+Metodologia!$B$18*(R5/Metodologia!$B$23)+Metodologia!$B$19*(S5/Metodologia!$B$24)+Metodologia!$B$20*(P5/Metodologia!$B$25)+Metodologia!$B$21*(J5/Metodologia!$B$26)),2)</x:f>
        <x:v>80.63</x:v>
      </x:c>
      <x:c r="J5" s="82" t="n">
        <x:f>SUM(K5:P5)</x:f>
        <x:v>600</x:v>
      </x:c>
      <x:c r="K5" s="82" t="n">
        <x:v>100</x:v>
      </x:c>
      <x:c r="L5" s="82" t="n">
        <x:v>134</x:v>
      </x:c>
      <x:c r="M5" s="82" t="n">
        <x:v>110</x:v>
      </x:c>
      <x:c r="N5" s="82" t="n">
        <x:v>95</x:v>
      </x:c>
      <x:c r="O5" s="82" t="n">
        <x:v>100</x:v>
      </x:c>
      <x:c r="P5" s="82" t="n">
        <x:v>61</x:v>
      </x:c>
      <x:c r="Q5" s="143" t="n">
        <x:f>MAX(L5,N5)*Metodologia!$B$16</x:f>
        <x:v>174.20000000000002</x:v>
      </x:c>
      <x:c r="R5" s="143" t="n">
        <x:f>MIN(L5,N5)*Metodologia!$B$16</x:f>
        <x:v>123.5</x:v>
      </x:c>
      <x:c r="S5" s="143" t="n">
        <x:f>SQRT(K5*AVERAGE(M5,O5)*Metodologia!$B$16)</x:f>
        <x:v>116.83321445547922</x:v>
      </x:c>
      <x:c r="T5" s="82" t="str">
        <x:v>Sim</x:v>
      </x:c>
      <x:c r="U5" s="82" t="str">
        <x:v>Rankeado</x:v>
      </x:c>
      <x:c r="V5" s="82" t="str">
        <x:v>Perfil físico; melhor atributo ofensivo 134, ofensiva secundária 95, robustez relativa 75% e Speed 61. O índice privilegia dano de hunt, sem ignorar sobrevivência.</x:v>
      </x:c>
      <x:c r="W5" s="82" t="str">
        <x:v>É o líder do clã no modelo.</x:v>
      </x:c>
      <x:c r="X5" s="82" t="str">
        <x:v>Fica à frente de Rhydon porque possui ofensiva secundária 111.1% maior e teto ofensivo 3.1% maior.</x:v>
      </x:c>
      <x:c r="Y5" s="154" t="str">
        <x:v>https://poke.idleworld.online/pokepedia/pokemon/tyranitar</x:v>
      </x:c>
    </x:row>
    <x:row r="6" ht="48" customHeight="1">
      <x:c r="A6" s="82" t="n">
        <x:f>IF(U6&lt;&gt;"Rankeado","",COUNTIFS($U$5:$U$38,"Rankeado",$I$5:$I$38,"&gt;"&amp;I6)+COUNTIFS($U$5:U6,"Rankeado",$I$5:I6,I6))</x:f>
        <x:v>2</x:v>
      </x:c>
      <x:c r="B6" s="82" t="n">
        <x:f>COUNTIF($I$5:$I$38,"&gt;"&amp;I6)+COUNTIF($I$5:I6,I6)</x:f>
        <x:v>2</x:v>
      </x:c>
      <x:c r="C6" s="82" t="str">
        <x:f>IF(I6&gt;=80,"S+",IF(I6&gt;=72,"S",IF(I6&gt;=65,"A",IF(I6&gt;=58,"B",IF(I6&gt;=50,"C",IF(I6&gt;=42,"D","E"))))))</x:f>
        <x:v>A</x:v>
      </x:c>
      <x:c r="D6" s="82" t="str">
        <x:f>IF(AND(U6="Rankeado",A6&lt;=6),"Sim","Não")</x:f>
        <x:v>Sim</x:v>
      </x:c>
      <x:c r="E6" s="82" t="n">
        <x:v>112</x:v>
      </x:c>
      <x:c r="F6" s="80" t="str">
        <x:v>Rhydon</x:v>
      </x:c>
      <x:c r="G6" s="82" t="str">
        <x:v>Terra / Pedra</x:v>
      </x:c>
      <x:c r="H6" s="82" t="str">
        <x:v>Físico</x:v>
      </x:c>
      <x:c r="I6" s="142" t="n">
        <x:f>ROUND(100*(Metodologia!$B$17*(Q6/Metodologia!$B$22)+Metodologia!$B$18*(R6/Metodologia!$B$23)+Metodologia!$B$19*(S6/Metodologia!$B$24)+Metodologia!$B$20*(P6/Metodologia!$B$25)+Metodologia!$B$21*(J6/Metodologia!$B$26)),2)</x:f>
        <x:v>71.24</x:v>
      </x:c>
      <x:c r="J6" s="82" t="n">
        <x:f>SUM(K6:P6)</x:f>
        <x:v>485</x:v>
      </x:c>
      <x:c r="K6" s="82" t="n">
        <x:v>105</x:v>
      </x:c>
      <x:c r="L6" s="82" t="n">
        <x:v>130</x:v>
      </x:c>
      <x:c r="M6" s="82" t="n">
        <x:v>120</x:v>
      </x:c>
      <x:c r="N6" s="82" t="n">
        <x:v>45</x:v>
      </x:c>
      <x:c r="O6" s="82" t="n">
        <x:v>45</x:v>
      </x:c>
      <x:c r="P6" s="82" t="n">
        <x:v>40</x:v>
      </x:c>
      <x:c r="Q6" s="143" t="n">
        <x:f>MAX(L6,N6)*Metodologia!$B$16</x:f>
        <x:v>169</x:v>
      </x:c>
      <x:c r="R6" s="143" t="n">
        <x:f>MIN(L6,N6)*Metodologia!$B$16</x:f>
        <x:v>58.5</x:v>
      </x:c>
      <x:c r="S6" s="143" t="n">
        <x:f>SQRT(K6*AVERAGE(M6,O6)*Metodologia!$B$16)</x:f>
        <x:v>106.11903693494396</x:v>
      </x:c>
      <x:c r="T6" s="82" t="str">
        <x:v>Sim</x:v>
      </x:c>
      <x:c r="U6" s="82" t="str">
        <x:v>Rankeado</x:v>
      </x:c>
      <x:c r="V6" s="82" t="str">
        <x:v>Perfil físico; melhor atributo ofensivo 130, ofensiva secundária 45, robustez relativa 68% e Speed 40. O índice privilegia dano de hunt, sem ignorar sobrevivência.</x:v>
      </x:c>
      <x:c r="W6" s="82" t="str">
        <x:v>Fica atrás de Tyranitar principalmente por ofensiva secundária 52.6% menor e teto ofensivo 3.0% menor.</x:v>
      </x:c>
      <x:c r="X6" s="82" t="str">
        <x:v>Fica à frente de Donphan porque possui teto ofensivo 8.3% maior e robustez sustentada 3.4% maior.</x:v>
      </x:c>
      <x:c r="Y6" s="154" t="str">
        <x:v>https://poke.idleworld.online/pokepedia/pokemon/rhydon</x:v>
      </x:c>
    </x:row>
    <x:row r="7" ht="48" customHeight="1">
      <x:c r="A7" s="82" t="n">
        <x:f>IF(U7&lt;&gt;"Rankeado","",COUNTIFS($U$5:$U$38,"Rankeado",$I$5:$I$38,"&gt;"&amp;I7)+COUNTIFS($U$5:U7,"Rankeado",$I$5:I7,I7))</x:f>
        <x:v>3</x:v>
      </x:c>
      <x:c r="B7" s="82" t="n">
        <x:f>COUNTIF($I$5:$I$38,"&gt;"&amp;I7)+COUNTIF($I$5:I7,I7)</x:f>
        <x:v>3</x:v>
      </x:c>
      <x:c r="C7" s="82" t="str">
        <x:f>IF(I7&gt;=80,"S+",IF(I7&gt;=72,"S",IF(I7&gt;=65,"A",IF(I7&gt;=58,"B",IF(I7&gt;=50,"C",IF(I7&gt;=42,"D","E"))))))</x:f>
        <x:v>A</x:v>
      </x:c>
      <x:c r="D7" s="82" t="str">
        <x:f>IF(AND(U7="Rankeado",A7&lt;=6),"Sim","Não")</x:f>
        <x:v>Sim</x:v>
      </x:c>
      <x:c r="E7" s="82" t="n">
        <x:v>232</x:v>
      </x:c>
      <x:c r="F7" s="80" t="str">
        <x:v>Donphan</x:v>
      </x:c>
      <x:c r="G7" s="82" t="str">
        <x:v>Terra</x:v>
      </x:c>
      <x:c r="H7" s="82" t="str">
        <x:v>Físico</x:v>
      </x:c>
      <x:c r="I7" s="142" t="n">
        <x:f>ROUND(100*(Metodologia!$B$17*(Q7/Metodologia!$B$22)+Metodologia!$B$18*(R7/Metodologia!$B$23)+Metodologia!$B$19*(S7/Metodologia!$B$24)+Metodologia!$B$20*(P7/Metodologia!$B$25)+Metodologia!$B$21*(J7/Metodologia!$B$26)),2)</x:f>
        <x:v>69.15</x:v>
      </x:c>
      <x:c r="J7" s="82" t="n">
        <x:f>SUM(K7:P7)</x:f>
        <x:v>500</x:v>
      </x:c>
      <x:c r="K7" s="82" t="n">
        <x:v>90</x:v>
      </x:c>
      <x:c r="L7" s="82" t="n">
        <x:v>120</x:v>
      </x:c>
      <x:c r="M7" s="82" t="n">
        <x:v>120</x:v>
      </x:c>
      <x:c r="N7" s="82" t="n">
        <x:v>60</x:v>
      </x:c>
      <x:c r="O7" s="82" t="n">
        <x:v>60</x:v>
      </x:c>
      <x:c r="P7" s="82" t="n">
        <x:v>50</x:v>
      </x:c>
      <x:c r="Q7" s="143" t="n">
        <x:f>MAX(L7,N7)*Metodologia!$B$16</x:f>
        <x:v>156</x:v>
      </x:c>
      <x:c r="R7" s="143" t="n">
        <x:f>MIN(L7,N7)*Metodologia!$B$16</x:f>
        <x:v>78</x:v>
      </x:c>
      <x:c r="S7" s="143" t="n">
        <x:f>SQRT(K7*AVERAGE(M7,O7)*Metodologia!$B$16)</x:f>
        <x:v>102.61578825892242</x:v>
      </x:c>
      <x:c r="T7" s="82" t="str">
        <x:v>Sim</x:v>
      </x:c>
      <x:c r="U7" s="82" t="str">
        <x:v>Rankeado</x:v>
      </x:c>
      <x:c r="V7" s="82" t="str">
        <x:v>Perfil físico; melhor atributo ofensivo 120, ofensiva secundária 60, robustez relativa 66% e Speed 50. O índice privilegia dano de hunt, sem ignorar sobrevivência.</x:v>
      </x:c>
      <x:c r="W7" s="82" t="str">
        <x:v>Fica atrás de Rhydon principalmente por teto ofensivo 7.7% menor e robustez sustentada 3.3% menor.</x:v>
      </x:c>
      <x:c r="X7" s="82" t="str">
        <x:v>Fica à frente de Golem porque possui ofensiva secundária 9.1% maior e velocidade 11.1% maior.</x:v>
      </x:c>
      <x:c r="Y7" s="154" t="str">
        <x:v>https://poke.idleworld.online/pokepedia/pokemon/donphan</x:v>
      </x:c>
    </x:row>
    <x:row r="8" ht="48" customHeight="1">
      <x:c r="A8" s="82" t="n">
        <x:f>IF(U8&lt;&gt;"Rankeado","",COUNTIFS($U$5:$U$38,"Rankeado",$I$5:$I$38,"&gt;"&amp;I8)+COUNTIFS($U$5:U8,"Rankeado",$I$5:I8,I8))</x:f>
        <x:v>4</x:v>
      </x:c>
      <x:c r="B8" s="82" t="n">
        <x:f>COUNTIF($I$5:$I$38,"&gt;"&amp;I8)+COUNTIF($I$5:I8,I8)</x:f>
        <x:v>4</x:v>
      </x:c>
      <x:c r="C8" s="82" t="str">
        <x:f>IF(I8&gt;=80,"S+",IF(I8&gt;=72,"S",IF(I8&gt;=65,"A",IF(I8&gt;=58,"B",IF(I8&gt;=50,"C",IF(I8&gt;=42,"D","E"))))))</x:f>
        <x:v>A</x:v>
      </x:c>
      <x:c r="D8" s="82" t="str">
        <x:f>IF(AND(U8="Rankeado",A8&lt;=6),"Sim","Não")</x:f>
        <x:v>Sim</x:v>
      </x:c>
      <x:c r="E8" s="82" t="n">
        <x:v>76</x:v>
      </x:c>
      <x:c r="F8" s="80" t="str">
        <x:v>Golem</x:v>
      </x:c>
      <x:c r="G8" s="82" t="str">
        <x:v>Pedra / Terra</x:v>
      </x:c>
      <x:c r="H8" s="82" t="str">
        <x:v>Físico</x:v>
      </x:c>
      <x:c r="I8" s="142" t="n">
        <x:f>ROUND(100*(Metodologia!$B$17*(Q8/Metodologia!$B$22)+Metodologia!$B$18*(R8/Metodologia!$B$23)+Metodologia!$B$19*(S8/Metodologia!$B$24)+Metodologia!$B$20*(P8/Metodologia!$B$25)+Metodologia!$B$21*(J8/Metodologia!$B$26)),2)</x:f>
        <x:v>68.14</x:v>
      </x:c>
      <x:c r="J8" s="82" t="n">
        <x:f>SUM(K8:P8)</x:f>
        <x:v>495</x:v>
      </x:c>
      <x:c r="K8" s="82" t="n">
        <x:v>80</x:v>
      </x:c>
      <x:c r="L8" s="82" t="n">
        <x:v>120</x:v>
      </x:c>
      <x:c r="M8" s="82" t="n">
        <x:v>130</x:v>
      </x:c>
      <x:c r="N8" s="82" t="n">
        <x:v>55</x:v>
      </x:c>
      <x:c r="O8" s="82" t="n">
        <x:v>65</x:v>
      </x:c>
      <x:c r="P8" s="82" t="n">
        <x:v>45</x:v>
      </x:c>
      <x:c r="Q8" s="143" t="n">
        <x:f>MAX(L8,N8)*Metodologia!$B$16</x:f>
        <x:v>156</x:v>
      </x:c>
      <x:c r="R8" s="143" t="n">
        <x:f>MIN(L8,N8)*Metodologia!$B$16</x:f>
        <x:v>71.5</x:v>
      </x:c>
      <x:c r="S8" s="143" t="n">
        <x:f>SQRT(K8*AVERAGE(M8,O8)*Metodologia!$B$16)</x:f>
        <x:v>100.69756700139284</x:v>
      </x:c>
      <x:c r="T8" s="82" t="str">
        <x:v>Sim</x:v>
      </x:c>
      <x:c r="U8" s="82" t="str">
        <x:v>Rankeado</x:v>
      </x:c>
      <x:c r="V8" s="82" t="str">
        <x:v>Perfil físico; melhor atributo ofensivo 120, ofensiva secundária 55, robustez relativa 65% e Speed 45. O índice privilegia dano de hunt, sem ignorar sobrevivência.</x:v>
      </x:c>
      <x:c r="W8" s="82" t="str">
        <x:v>Fica atrás de Donphan principalmente por ofensiva secundária 8.3% menor e velocidade 10.0% menor.</x:v>
      </x:c>
      <x:c r="X8" s="82" t="str">
        <x:v>Fica à frente de Kabutops porque possui teto ofensivo 4.3% maior e robustez sustentada 21.9% maior.</x:v>
      </x:c>
      <x:c r="Y8" s="154" t="str">
        <x:v>https://poke.idleworld.online/pokepedia/pokemon/golem</x:v>
      </x:c>
    </x:row>
    <x:row r="9" ht="48" customHeight="1">
      <x:c r="A9" s="82" t="n">
        <x:f>IF(U9&lt;&gt;"Rankeado","",COUNTIFS($U$5:$U$38,"Rankeado",$I$5:$I$38,"&gt;"&amp;I9)+COUNTIFS($U$5:U9,"Rankeado",$I$5:I9,I9))</x:f>
        <x:v>5</x:v>
      </x:c>
      <x:c r="B9" s="82" t="n">
        <x:f>COUNTIF($I$5:$I$38,"&gt;"&amp;I9)+COUNTIF($I$5:I9,I9)</x:f>
        <x:v>5</x:v>
      </x:c>
      <x:c r="C9" s="82" t="str">
        <x:f>IF(I9&gt;=80,"S+",IF(I9&gt;=72,"S",IF(I9&gt;=65,"A",IF(I9&gt;=58,"B",IF(I9&gt;=50,"C",IF(I9&gt;=42,"D","E"))))))</x:f>
        <x:v>A</x:v>
      </x:c>
      <x:c r="D9" s="82" t="str">
        <x:f>IF(AND(U9="Rankeado",A9&lt;=6),"Sim","Não")</x:f>
        <x:v>Sim</x:v>
      </x:c>
      <x:c r="E9" s="82" t="n">
        <x:v>141</x:v>
      </x:c>
      <x:c r="F9" s="80" t="str">
        <x:v>Kabutops</x:v>
      </x:c>
      <x:c r="G9" s="82" t="str">
        <x:v>Pedra / Água</x:v>
      </x:c>
      <x:c r="H9" s="82" t="str">
        <x:v>Físico</x:v>
      </x:c>
      <x:c r="I9" s="142" t="n">
        <x:f>ROUND(100*(Metodologia!$B$17*(Q9/Metodologia!$B$22)+Metodologia!$B$18*(R9/Metodologia!$B$23)+Metodologia!$B$19*(S9/Metodologia!$B$24)+Metodologia!$B$20*(P9/Metodologia!$B$25)+Metodologia!$B$21*(J9/Metodologia!$B$26)),2)</x:f>
        <x:v>67.68</x:v>
      </x:c>
      <x:c r="J9" s="82" t="n">
        <x:f>SUM(K9:P9)</x:f>
        <x:v>495</x:v>
      </x:c>
      <x:c r="K9" s="82" t="n">
        <x:v>60</x:v>
      </x:c>
      <x:c r="L9" s="82" t="n">
        <x:v>115</x:v>
      </x:c>
      <x:c r="M9" s="82" t="n">
        <x:v>105</x:v>
      </x:c>
      <x:c r="N9" s="82" t="n">
        <x:v>65</x:v>
      </x:c>
      <x:c r="O9" s="82" t="n">
        <x:v>70</x:v>
      </x:c>
      <x:c r="P9" s="82" t="n">
        <x:v>80</x:v>
      </x:c>
      <x:c r="Q9" s="143" t="n">
        <x:f>MAX(L9,N9)*Metodologia!$B$16</x:f>
        <x:v>149.5</x:v>
      </x:c>
      <x:c r="R9" s="143" t="n">
        <x:f>MIN(L9,N9)*Metodologia!$B$16</x:f>
        <x:v>84.5</x:v>
      </x:c>
      <x:c r="S9" s="143" t="n">
        <x:f>SQRT(K9*AVERAGE(M9,O9)*Metodologia!$B$16)</x:f>
        <x:v>82.61355820929153</x:v>
      </x:c>
      <x:c r="T9" s="82" t="str">
        <x:v>Sim</x:v>
      </x:c>
      <x:c r="U9" s="82" t="str">
        <x:v>Rankeado</x:v>
      </x:c>
      <x:c r="V9" s="82" t="str">
        <x:v>Perfil físico; melhor atributo ofensivo 115, ofensiva secundária 65, robustez relativa 53% e Speed 80. O índice privilegia dano de hunt, sem ignorar sobrevivência.</x:v>
      </x:c>
      <x:c r="W9" s="82" t="str">
        <x:v>Fica atrás de Golem principalmente por teto ofensivo 4.2% menor e robustez sustentada 18.0% menor.</x:v>
      </x:c>
      <x:c r="X9" s="82" t="str">
        <x:v>Fica à frente de Aerodactyl porque possui teto ofensivo 9.5% maior e ofensiva secundária 8.3% maior.</x:v>
      </x:c>
      <x:c r="Y9" s="154" t="str">
        <x:v>https://poke.idleworld.online/pokepedia/pokemon/kabutops</x:v>
      </x:c>
    </x:row>
    <x:row r="10" ht="48" customHeight="1">
      <x:c r="A10" s="82" t="n">
        <x:f>IF(U10&lt;&gt;"Rankeado","",COUNTIFS($U$5:$U$38,"Rankeado",$I$5:$I$38,"&gt;"&amp;I10)+COUNTIFS($U$5:U10,"Rankeado",$I$5:I10,I10))</x:f>
        <x:v>6</x:v>
      </x:c>
      <x:c r="B10" s="82" t="n">
        <x:f>COUNTIF($I$5:$I$38,"&gt;"&amp;I10)+COUNTIF($I$5:I10,I10)</x:f>
        <x:v>6</x:v>
      </x:c>
      <x:c r="C10" s="82" t="str">
        <x:f>IF(I10&gt;=80,"S+",IF(I10&gt;=72,"S",IF(I10&gt;=65,"A",IF(I10&gt;=58,"B",IF(I10&gt;=50,"C",IF(I10&gt;=42,"D","E"))))))</x:f>
        <x:v>A</x:v>
      </x:c>
      <x:c r="D10" s="82" t="str">
        <x:f>IF(AND(U10="Rankeado",A10&lt;=6),"Sim","Não")</x:f>
        <x:v>Sim</x:v>
      </x:c>
      <x:c r="E10" s="82" t="n">
        <x:v>142</x:v>
      </x:c>
      <x:c r="F10" s="80" t="str">
        <x:v>Aerodactyl</x:v>
      </x:c>
      <x:c r="G10" s="82" t="str">
        <x:v>Pedra / Voador</x:v>
      </x:c>
      <x:c r="H10" s="82" t="str">
        <x:v>Físico</x:v>
      </x:c>
      <x:c r="I10" s="142" t="n">
        <x:f>ROUND(100*(Metodologia!$B$17*(Q10/Metodologia!$B$22)+Metodologia!$B$18*(R10/Metodologia!$B$23)+Metodologia!$B$19*(S10/Metodologia!$B$24)+Metodologia!$B$20*(P10/Metodologia!$B$25)+Metodologia!$B$21*(J10/Metodologia!$B$26)),2)</x:f>
        <x:v>67.07</x:v>
      </x:c>
      <x:c r="J10" s="82" t="n">
        <x:f>SUM(K10:P10)</x:f>
        <x:v>515</x:v>
      </x:c>
      <x:c r="K10" s="82" t="n">
        <x:v>80</x:v>
      </x:c>
      <x:c r="L10" s="82" t="n">
        <x:v>105</x:v>
      </x:c>
      <x:c r="M10" s="82" t="n">
        <x:v>65</x:v>
      </x:c>
      <x:c r="N10" s="82" t="n">
        <x:v>60</x:v>
      </x:c>
      <x:c r="O10" s="82" t="n">
        <x:v>75</x:v>
      </x:c>
      <x:c r="P10" s="82" t="n">
        <x:v>130</x:v>
      </x:c>
      <x:c r="Q10" s="143" t="n">
        <x:f>MAX(L10,N10)*Metodologia!$B$16</x:f>
        <x:v>136.5</x:v>
      </x:c>
      <x:c r="R10" s="143" t="n">
        <x:f>MIN(L10,N10)*Metodologia!$B$16</x:f>
        <x:v>78</x:v>
      </x:c>
      <x:c r="S10" s="143" t="n">
        <x:f>SQRT(K10*AVERAGE(M10,O10)*Metodologia!$B$16)</x:f>
        <x:v>85.32291603080617</x:v>
      </x:c>
      <x:c r="T10" s="82" t="str">
        <x:v>Sim</x:v>
      </x:c>
      <x:c r="U10" s="82" t="str">
        <x:v>Rankeado</x:v>
      </x:c>
      <x:c r="V10" s="82" t="str">
        <x:v>Perfil físico; melhor atributo ofensivo 105, ofensiva secundária 60, robustez relativa 55% e Speed 130. O índice privilegia dano de hunt, sem ignorar sobrevivência.</x:v>
      </x:c>
      <x:c r="W10" s="82" t="str">
        <x:v>Fica atrás de Kabutops principalmente por teto ofensivo 8.7% menor e ofensiva secundária 7.7% menor.</x:v>
      </x:c>
      <x:c r="X10" s="82" t="str">
        <x:v>Fica à frente de Omastar porque possui velocidade 136.4% maior e total de stats 4.0% maior.</x:v>
      </x:c>
      <x:c r="Y10" s="154" t="str">
        <x:v>https://poke.idleworld.online/pokepedia/pokemon/aerodactyl</x:v>
      </x:c>
    </x:row>
    <x:row r="11" ht="48" customHeight="1">
      <x:c r="A11" s="82" t="n">
        <x:f>IF(U11&lt;&gt;"Rankeado","",COUNTIFS($U$5:$U$38,"Rankeado",$I$5:$I$38,"&gt;"&amp;I11)+COUNTIFS($U$5:U11,"Rankeado",$I$5:I11,I11))</x:f>
        <x:v>7</x:v>
      </x:c>
      <x:c r="B11" s="82" t="n">
        <x:f>COUNTIF($I$5:$I$38,"&gt;"&amp;I11)+COUNTIF($I$5:I11,I11)</x:f>
        <x:v>7</x:v>
      </x:c>
      <x:c r="C11" s="82" t="str">
        <x:f>IF(I11&gt;=80,"S+",IF(I11&gt;=72,"S",IF(I11&gt;=65,"A",IF(I11&gt;=58,"B",IF(I11&gt;=50,"C",IF(I11&gt;=42,"D","E"))))))</x:f>
        <x:v>A</x:v>
      </x:c>
      <x:c r="D11" s="82" t="str">
        <x:f>IF(AND(U11="Rankeado",A11&lt;=6),"Sim","Não")</x:f>
        <x:v>Não</x:v>
      </x:c>
      <x:c r="E11" s="82" t="n">
        <x:v>139</x:v>
      </x:c>
      <x:c r="F11" s="80" t="str">
        <x:v>Omastar</x:v>
      </x:c>
      <x:c r="G11" s="82" t="str">
        <x:v>Pedra / Água</x:v>
      </x:c>
      <x:c r="H11" s="82" t="str">
        <x:v>Especial</x:v>
      </x:c>
      <x:c r="I11" s="142" t="n">
        <x:f>ROUND(100*(Metodologia!$B$17*(Q11/Metodologia!$B$22)+Metodologia!$B$18*(R11/Metodologia!$B$23)+Metodologia!$B$19*(S11/Metodologia!$B$24)+Metodologia!$B$20*(P11/Metodologia!$B$25)+Metodologia!$B$21*(J11/Metodologia!$B$26)),2)</x:f>
        <x:v>66.68</x:v>
      </x:c>
      <x:c r="J11" s="82" t="n">
        <x:f>SUM(K11:P11)</x:f>
        <x:v>495</x:v>
      </x:c>
      <x:c r="K11" s="82" t="n">
        <x:v>70</x:v>
      </x:c>
      <x:c r="L11" s="82" t="n">
        <x:v>60</x:v>
      </x:c>
      <x:c r="M11" s="82" t="n">
        <x:v>125</x:v>
      </x:c>
      <x:c r="N11" s="82" t="n">
        <x:v>115</x:v>
      </x:c>
      <x:c r="O11" s="82" t="n">
        <x:v>70</x:v>
      </x:c>
      <x:c r="P11" s="82" t="n">
        <x:v>55</x:v>
      </x:c>
      <x:c r="Q11" s="143" t="n">
        <x:f>MAX(L11,N11)*Metodologia!$B$16</x:f>
        <x:v>149.5</x:v>
      </x:c>
      <x:c r="R11" s="143" t="n">
        <x:f>MIN(L11,N11)*Metodologia!$B$16</x:f>
        <x:v>78</x:v>
      </x:c>
      <x:c r="S11" s="143" t="n">
        <x:f>SQRT(K11*AVERAGE(M11,O11)*Metodologia!$B$16)</x:f>
        <x:v>94.19394885023135</x:v>
      </x:c>
      <x:c r="T11" s="82" t="str">
        <x:v>Sim</x:v>
      </x:c>
      <x:c r="U11" s="82" t="str">
        <x:v>Rankeado</x:v>
      </x:c>
      <x:c r="V11" s="82" t="str">
        <x:v>Perfil especial; melhor atributo ofensivo 115, ofensiva secundária 60, robustez relativa 61% e Speed 55. O índice privilegia dano de hunt, sem ignorar sobrevivência.</x:v>
      </x:c>
      <x:c r="W11" s="82" t="str">
        <x:v>Fica atrás de Aerodactyl principalmente por velocidade 57.7% menor e total de stats 3.9% menor.</x:v>
      </x:c>
      <x:c r="X11" s="82" t="str">
        <x:v>Fica à frente de Nidoking porque possui teto ofensivo 12.7% maior e robustez sustentada 5.3% maior.</x:v>
      </x:c>
      <x:c r="Y11" s="154" t="str">
        <x:v>https://poke.idleworld.online/pokepedia/pokemon/omastar</x:v>
      </x:c>
    </x:row>
    <x:row r="12" ht="48" customHeight="1">
      <x:c r="A12" s="82" t="n">
        <x:f>IF(U12&lt;&gt;"Rankeado","",COUNTIFS($U$5:$U$38,"Rankeado",$I$5:$I$38,"&gt;"&amp;I12)+COUNTIFS($U$5:U12,"Rankeado",$I$5:I12,I12))</x:f>
        <x:v>8</x:v>
      </x:c>
      <x:c r="B12" s="82" t="n">
        <x:f>COUNTIF($I$5:$I$38,"&gt;"&amp;I12)+COUNTIF($I$5:I12,I12)</x:f>
        <x:v>8</x:v>
      </x:c>
      <x:c r="C12" s="82" t="str">
        <x:f>IF(I12&gt;=80,"S+",IF(I12&gt;=72,"S",IF(I12&gt;=65,"A",IF(I12&gt;=58,"B",IF(I12&gt;=50,"C",IF(I12&gt;=42,"D","E"))))))</x:f>
        <x:v>A</x:v>
      </x:c>
      <x:c r="D12" s="82" t="str">
        <x:f>IF(AND(U12="Rankeado",A12&lt;=6),"Sim","Não")</x:f>
        <x:v>Não</x:v>
      </x:c>
      <x:c r="E12" s="82" t="n">
        <x:v>34</x:v>
      </x:c>
      <x:c r="F12" s="80" t="str">
        <x:v>Nidoking</x:v>
      </x:c>
      <x:c r="G12" s="82" t="str">
        <x:v>Veneno / Terra</x:v>
      </x:c>
      <x:c r="H12" s="82" t="str">
        <x:v>Físico</x:v>
      </x:c>
      <x:c r="I12" s="142" t="n">
        <x:f>ROUND(100*(Metodologia!$B$17*(Q12/Metodologia!$B$22)+Metodologia!$B$18*(R12/Metodologia!$B$23)+Metodologia!$B$19*(S12/Metodologia!$B$24)+Metodologia!$B$20*(P12/Metodologia!$B$25)+Metodologia!$B$21*(J12/Metodologia!$B$26)),2)</x:f>
        <x:v>65.5</x:v>
      </x:c>
      <x:c r="J12" s="82" t="n">
        <x:f>SUM(K12:P12)</x:f>
        <x:v>505</x:v>
      </x:c>
      <x:c r="K12" s="82" t="n">
        <x:v>81</x:v>
      </x:c>
      <x:c r="L12" s="82" t="n">
        <x:v>102</x:v>
      </x:c>
      <x:c r="M12" s="82" t="n">
        <x:v>77</x:v>
      </x:c>
      <x:c r="N12" s="82" t="n">
        <x:v>85</x:v>
      </x:c>
      <x:c r="O12" s="82" t="n">
        <x:v>75</x:v>
      </x:c>
      <x:c r="P12" s="82" t="n">
        <x:v>85</x:v>
      </x:c>
      <x:c r="Q12" s="143" t="n">
        <x:f>MAX(L12,N12)*Metodologia!$B$16</x:f>
        <x:v>132.6</x:v>
      </x:c>
      <x:c r="R12" s="143" t="n">
        <x:f>MIN(L12,N12)*Metodologia!$B$16</x:f>
        <x:v>110.5</x:v>
      </x:c>
      <x:c r="S12" s="143" t="n">
        <x:f>SQRT(K12*AVERAGE(M12,O12)*Metodologia!$B$16)</x:f>
        <x:v>89.45837020648207</x:v>
      </x:c>
      <x:c r="T12" s="82" t="str">
        <x:v>Sim</x:v>
      </x:c>
      <x:c r="U12" s="82" t="str">
        <x:v>Rankeado</x:v>
      </x:c>
      <x:c r="V12" s="82" t="str">
        <x:v>Perfil físico; melhor atributo ofensivo 102, ofensiva secundária 85, robustez relativa 58% e Speed 85. O índice privilegia dano de hunt, sem ignorar sobrevivência.</x:v>
      </x:c>
      <x:c r="W12" s="82" t="str">
        <x:v>Fica atrás de Omastar principalmente por teto ofensivo 11.3% menor e robustez sustentada 5.0% menor.</x:v>
      </x:c>
      <x:c r="X12" s="82" t="str">
        <x:v>Fica à frente de Nidoqueen porque possui teto ofensivo 10.9% maior e ofensiva secundária 13.3% maior.</x:v>
      </x:c>
      <x:c r="Y12" s="154" t="str">
        <x:v>https://poke.idleworld.online/pokepedia/pokemon/nidoking</x:v>
      </x:c>
    </x:row>
    <x:row r="13" ht="48" customHeight="1">
      <x:c r="A13" s="82" t="n">
        <x:f>IF(U13&lt;&gt;"Rankeado","",COUNTIFS($U$5:$U$38,"Rankeado",$I$5:$I$38,"&gt;"&amp;I13)+COUNTIFS($U$5:U13,"Rankeado",$I$5:I13,I13))</x:f>
        <x:v>9</x:v>
      </x:c>
      <x:c r="B13" s="82" t="n">
        <x:f>COUNTIF($I$5:$I$38,"&gt;"&amp;I13)+COUNTIF($I$5:I13,I13)</x:f>
        <x:v>9</x:v>
      </x:c>
      <x:c r="C13" s="82" t="str">
        <x:f>IF(I13&gt;=80,"S+",IF(I13&gt;=72,"S",IF(I13&gt;=65,"A",IF(I13&gt;=58,"B",IF(I13&gt;=50,"C",IF(I13&gt;=42,"D","E"))))))</x:f>
        <x:v>B</x:v>
      </x:c>
      <x:c r="D13" s="82" t="str">
        <x:f>IF(AND(U13="Rankeado",A13&lt;=6),"Sim","Não")</x:f>
        <x:v>Não</x:v>
      </x:c>
      <x:c r="E13" s="82" t="n">
        <x:v>31</x:v>
      </x:c>
      <x:c r="F13" s="80" t="str">
        <x:v>Nidoqueen</x:v>
      </x:c>
      <x:c r="G13" s="82" t="str">
        <x:v>Veneno / Terra</x:v>
      </x:c>
      <x:c r="H13" s="82" t="str">
        <x:v>Físico</x:v>
      </x:c>
      <x:c r="I13" s="142" t="n">
        <x:f>ROUND(100*(Metodologia!$B$17*(Q13/Metodologia!$B$22)+Metodologia!$B$18*(R13/Metodologia!$B$23)+Metodologia!$B$19*(S13/Metodologia!$B$24)+Metodologia!$B$20*(P13/Metodologia!$B$25)+Metodologia!$B$21*(J13/Metodologia!$B$26)),2)</x:f>
        <x:v>61.15</x:v>
      </x:c>
      <x:c r="J13" s="82" t="n">
        <x:f>SUM(K13:P13)</x:f>
        <x:v>505</x:v>
      </x:c>
      <x:c r="K13" s="82" t="n">
        <x:v>90</x:v>
      </x:c>
      <x:c r="L13" s="82" t="n">
        <x:v>92</x:v>
      </x:c>
      <x:c r="M13" s="82" t="n">
        <x:v>87</x:v>
      </x:c>
      <x:c r="N13" s="82" t="n">
        <x:v>75</x:v>
      </x:c>
      <x:c r="O13" s="82" t="n">
        <x:v>85</x:v>
      </x:c>
      <x:c r="P13" s="82" t="n">
        <x:v>76</x:v>
      </x:c>
      <x:c r="Q13" s="143" t="n">
        <x:f>MAX(L13,N13)*Metodologia!$B$16</x:f>
        <x:v>119.60000000000001</x:v>
      </x:c>
      <x:c r="R13" s="143" t="n">
        <x:f>MIN(L13,N13)*Metodologia!$B$16</x:f>
        <x:v>97.5</x:v>
      </x:c>
      <x:c r="S13" s="143" t="n">
        <x:f>SQRT(K13*AVERAGE(M13,O13)*Metodologia!$B$16)</x:f>
        <x:v>100.30952098380293</x:v>
      </x:c>
      <x:c r="T13" s="82" t="str">
        <x:v>Sim</x:v>
      </x:c>
      <x:c r="U13" s="82" t="str">
        <x:v>Rankeado</x:v>
      </x:c>
      <x:c r="V13" s="82" t="str">
        <x:v>Perfil físico; melhor atributo ofensivo 92, ofensiva secundária 75, robustez relativa 65% e Speed 76. O índice privilegia dano de hunt, sem ignorar sobrevivência.</x:v>
      </x:c>
      <x:c r="W13" s="82" t="str">
        <x:v>Fica atrás de Nidoking principalmente por teto ofensivo 9.8% menor e ofensiva secundária 11.8% menor.</x:v>
      </x:c>
      <x:c r="X13" s="82" t="str">
        <x:v>Fica à frente de Piloswine porque possui velocidade 52.0% maior e ofensiva secundária 25.0% maior.</x:v>
      </x:c>
      <x:c r="Y13" s="154" t="str">
        <x:v>https://poke.idleworld.online/pokepedia/pokemon/nidoqueen</x:v>
      </x:c>
    </x:row>
    <x:row r="14" ht="48" customHeight="1">
      <x:c r="A14" s="82" t="n">
        <x:f>IF(U14&lt;&gt;"Rankeado","",COUNTIFS($U$5:$U$38,"Rankeado",$I$5:$I$38,"&gt;"&amp;I14)+COUNTIFS($U$5:U14,"Rankeado",$I$5:I14,I14))</x:f>
        <x:v>10</x:v>
      </x:c>
      <x:c r="B14" s="82" t="n">
        <x:f>COUNTIF($I$5:$I$38,"&gt;"&amp;I14)+COUNTIF($I$5:I14,I14)</x:f>
        <x:v>10</x:v>
      </x:c>
      <x:c r="C14" s="82" t="str">
        <x:f>IF(I14&gt;=80,"S+",IF(I14&gt;=72,"S",IF(I14&gt;=65,"A",IF(I14&gt;=58,"B",IF(I14&gt;=50,"C",IF(I14&gt;=42,"D","E"))))))</x:f>
        <x:v>B</x:v>
      </x:c>
      <x:c r="D14" s="82" t="str">
        <x:f>IF(AND(U14="Rankeado",A14&lt;=6),"Sim","Não")</x:f>
        <x:v>Não</x:v>
      </x:c>
      <x:c r="E14" s="82" t="n">
        <x:v>221</x:v>
      </x:c>
      <x:c r="F14" s="80" t="str">
        <x:v>Piloswine</x:v>
      </x:c>
      <x:c r="G14" s="82" t="str">
        <x:v>Gelo / Terra</x:v>
      </x:c>
      <x:c r="H14" s="82" t="str">
        <x:v>Físico</x:v>
      </x:c>
      <x:c r="I14" s="142" t="n">
        <x:f>ROUND(100*(Metodologia!$B$17*(Q14/Metodologia!$B$22)+Metodologia!$B$18*(R14/Metodologia!$B$23)+Metodologia!$B$19*(S14/Metodologia!$B$24)+Metodologia!$B$20*(P14/Metodologia!$B$25)+Metodologia!$B$21*(J14/Metodologia!$B$26)),2)</x:f>
        <x:v>60.29</x:v>
      </x:c>
      <x:c r="J14" s="82" t="n">
        <x:f>SUM(K14:P14)</x:f>
        <x:v>450</x:v>
      </x:c>
      <x:c r="K14" s="82" t="n">
        <x:v>100</x:v>
      </x:c>
      <x:c r="L14" s="82" t="n">
        <x:v>100</x:v>
      </x:c>
      <x:c r="M14" s="82" t="n">
        <x:v>80</x:v>
      </x:c>
      <x:c r="N14" s="82" t="n">
        <x:v>60</x:v>
      </x:c>
      <x:c r="O14" s="82" t="n">
        <x:v>60</x:v>
      </x:c>
      <x:c r="P14" s="82" t="n">
        <x:v>50</x:v>
      </x:c>
      <x:c r="Q14" s="143" t="n">
        <x:f>MAX(L14,N14)*Metodologia!$B$16</x:f>
        <x:v>130</x:v>
      </x:c>
      <x:c r="R14" s="143" t="n">
        <x:f>MIN(L14,N14)*Metodologia!$B$16</x:f>
        <x:v>78</x:v>
      </x:c>
      <x:c r="S14" s="143" t="n">
        <x:f>SQRT(K14*AVERAGE(M14,O14)*Metodologia!$B$16)</x:f>
        <x:v>95.39392014169457</x:v>
      </x:c>
      <x:c r="T14" s="82" t="str">
        <x:v>Sim</x:v>
      </x:c>
      <x:c r="U14" s="82" t="str">
        <x:v>Rankeado</x:v>
      </x:c>
      <x:c r="V14" s="82" t="str">
        <x:v>Perfil físico; melhor atributo ofensivo 100, ofensiva secundária 60, robustez relativa 62% e Speed 50. O índice privilegia dano de hunt, sem ignorar sobrevivência.</x:v>
      </x:c>
      <x:c r="W14" s="82" t="str">
        <x:v>Fica atrás de Nidoqueen principalmente por velocidade 34.2% menor e ofensiva secundária 20.0% menor.</x:v>
      </x:c>
      <x:c r="X14" s="82" t="str">
        <x:v>Fica à frente de Dugtrio porque possui robustez sustentada 82.6% maior e ofensiva secundária 20.0% maior.</x:v>
      </x:c>
      <x:c r="Y14" s="154" t="str">
        <x:v>https://poke.idleworld.online/pokepedia/pokemon/piloswine</x:v>
      </x:c>
    </x:row>
    <x:row r="15" ht="48" customHeight="1">
      <x:c r="A15" s="82" t="n">
        <x:f>IF(U15&lt;&gt;"Rankeado","",COUNTIFS($U$5:$U$38,"Rankeado",$I$5:$I$38,"&gt;"&amp;I15)+COUNTIFS($U$5:U15,"Rankeado",$I$5:I15,I15))</x:f>
        <x:v>11</x:v>
      </x:c>
      <x:c r="B15" s="82" t="n">
        <x:f>COUNTIF($I$5:$I$38,"&gt;"&amp;I15)+COUNTIF($I$5:I15,I15)</x:f>
        <x:v>11</x:v>
      </x:c>
      <x:c r="C15" s="82" t="str">
        <x:f>IF(I15&gt;=80,"S+",IF(I15&gt;=72,"S",IF(I15&gt;=65,"A",IF(I15&gt;=58,"B",IF(I15&gt;=50,"C",IF(I15&gt;=42,"D","E"))))))</x:f>
        <x:v>B</x:v>
      </x:c>
      <x:c r="D15" s="82" t="str">
        <x:f>IF(AND(U15="Rankeado",A15&lt;=6),"Sim","Não")</x:f>
        <x:v>Não</x:v>
      </x:c>
      <x:c r="E15" s="82" t="n">
        <x:v>51</x:v>
      </x:c>
      <x:c r="F15" s="80" t="str">
        <x:v>Dugtrio</x:v>
      </x:c>
      <x:c r="G15" s="82" t="str">
        <x:v>Terra</x:v>
      </x:c>
      <x:c r="H15" s="82" t="str">
        <x:v>Físico</x:v>
      </x:c>
      <x:c r="I15" s="142" t="n">
        <x:f>ROUND(100*(Metodologia!$B$17*(Q15/Metodologia!$B$22)+Metodologia!$B$18*(R15/Metodologia!$B$23)+Metodologia!$B$19*(S15/Metodologia!$B$24)+Metodologia!$B$20*(P15/Metodologia!$B$25)+Metodologia!$B$21*(J15/Metodologia!$B$26)),2)</x:f>
        <x:v>59.69</x:v>
      </x:c>
      <x:c r="J15" s="82" t="n">
        <x:f>SUM(K15:P15)</x:f>
        <x:v>425</x:v>
      </x:c>
      <x:c r="K15" s="82" t="n">
        <x:v>35</x:v>
      </x:c>
      <x:c r="L15" s="82" t="n">
        <x:v>100</x:v>
      </x:c>
      <x:c r="M15" s="82" t="n">
        <x:v>50</x:v>
      </x:c>
      <x:c r="N15" s="82" t="n">
        <x:v>50</x:v>
      </x:c>
      <x:c r="O15" s="82" t="n">
        <x:v>70</x:v>
      </x:c>
      <x:c r="P15" s="82" t="n">
        <x:v>120</x:v>
      </x:c>
      <x:c r="Q15" s="143" t="n">
        <x:f>MAX(L15,N15)*Metodologia!$B$16</x:f>
        <x:v>130</x:v>
      </x:c>
      <x:c r="R15" s="143" t="n">
        <x:f>MIN(L15,N15)*Metodologia!$B$16</x:f>
        <x:v>65</x:v>
      </x:c>
      <x:c r="S15" s="143" t="n">
        <x:f>SQRT(K15*AVERAGE(M15,O15)*Metodologia!$B$16)</x:f>
        <x:v>52.24940191045253</x:v>
      </x:c>
      <x:c r="T15" s="82" t="str">
        <x:v>Sim</x:v>
      </x:c>
      <x:c r="U15" s="82" t="str">
        <x:v>Rankeado</x:v>
      </x:c>
      <x:c r="V15" s="82" t="str">
        <x:v>Perfil físico; melhor atributo ofensivo 100, ofensiva secundária 50, robustez relativa 34% e Speed 120. O índice privilegia dano de hunt, sem ignorar sobrevivência.</x:v>
      </x:c>
      <x:c r="W15" s="82" t="str">
        <x:v>Fica atrás de Piloswine principalmente por robustez sustentada 45.2% menor e ofensiva secundária 16.7% menor.</x:v>
      </x:c>
      <x:c r="X15" s="82" t="str">
        <x:v>Fica à frente de Sandslash porque possui velocidade 84.6% maior e ofensiva secundária 11.1% maior.</x:v>
      </x:c>
      <x:c r="Y15" s="154" t="str">
        <x:v>https://poke.idleworld.online/pokepedia/pokemon/dugtrio</x:v>
      </x:c>
    </x:row>
    <x:row r="16" ht="48" customHeight="1">
      <x:c r="A16" s="82" t="n">
        <x:f>IF(U16&lt;&gt;"Rankeado","",COUNTIFS($U$5:$U$38,"Rankeado",$I$5:$I$38,"&gt;"&amp;I16)+COUNTIFS($U$5:U16,"Rankeado",$I$5:I16,I16))</x:f>
        <x:v>12</x:v>
      </x:c>
      <x:c r="B16" s="82" t="n">
        <x:f>COUNTIF($I$5:$I$38,"&gt;"&amp;I16)+COUNTIF($I$5:I16,I16)</x:f>
        <x:v>12</x:v>
      </x:c>
      <x:c r="C16" s="82" t="str">
        <x:f>IF(I16&gt;=80,"S+",IF(I16&gt;=72,"S",IF(I16&gt;=65,"A",IF(I16&gt;=58,"B",IF(I16&gt;=50,"C",IF(I16&gt;=42,"D","E"))))))</x:f>
        <x:v>B</x:v>
      </x:c>
      <x:c r="D16" s="82" t="str">
        <x:f>IF(AND(U16="Rankeado",A16&lt;=6),"Sim","Não")</x:f>
        <x:v>Não</x:v>
      </x:c>
      <x:c r="E16" s="82" t="n">
        <x:v>28</x:v>
      </x:c>
      <x:c r="F16" s="80" t="str">
        <x:v>Sandslash</x:v>
      </x:c>
      <x:c r="G16" s="82" t="str">
        <x:v>Terra</x:v>
      </x:c>
      <x:c r="H16" s="82" t="str">
        <x:v>Físico</x:v>
      </x:c>
      <x:c r="I16" s="142" t="n">
        <x:f>ROUND(100*(Metodologia!$B$17*(Q16/Metodologia!$B$22)+Metodologia!$B$18*(R16/Metodologia!$B$23)+Metodologia!$B$19*(S16/Metodologia!$B$24)+Metodologia!$B$20*(P16/Metodologia!$B$25)+Metodologia!$B$21*(J16/Metodologia!$B$26)),2)</x:f>
        <x:v>59.37</x:v>
      </x:c>
      <x:c r="J16" s="82" t="n">
        <x:f>SUM(K16:P16)</x:f>
        <x:v>450</x:v>
      </x:c>
      <x:c r="K16" s="82" t="n">
        <x:v>75</x:v>
      </x:c>
      <x:c r="L16" s="82" t="n">
        <x:v>100</x:v>
      </x:c>
      <x:c r="M16" s="82" t="n">
        <x:v>110</x:v>
      </x:c>
      <x:c r="N16" s="82" t="n">
        <x:v>45</x:v>
      </x:c>
      <x:c r="O16" s="82" t="n">
        <x:v>55</x:v>
      </x:c>
      <x:c r="P16" s="82" t="n">
        <x:v>65</x:v>
      </x:c>
      <x:c r="Q16" s="143" t="n">
        <x:f>MAX(L16,N16)*Metodologia!$B$16</x:f>
        <x:v>130</x:v>
      </x:c>
      <x:c r="R16" s="143" t="n">
        <x:f>MIN(L16,N16)*Metodologia!$B$16</x:f>
        <x:v>58.5</x:v>
      </x:c>
      <x:c r="S16" s="143" t="n">
        <x:f>SQRT(K16*AVERAGE(M16,O16)*Metodologia!$B$16)</x:f>
        <x:v>89.68695557326049</x:v>
      </x:c>
      <x:c r="T16" s="82" t="str">
        <x:v>Sim</x:v>
      </x:c>
      <x:c r="U16" s="82" t="str">
        <x:v>Rankeado</x:v>
      </x:c>
      <x:c r="V16" s="82" t="str">
        <x:v>Perfil físico; melhor atributo ofensivo 100, ofensiva secundária 45, robustez relativa 58% e Speed 65. O índice privilegia dano de hunt, sem ignorar sobrevivência.</x:v>
      </x:c>
      <x:c r="W16" s="82" t="str">
        <x:v>Fica atrás de Dugtrio principalmente por velocidade 45.8% menor e ofensiva secundária 10.0% menor.</x:v>
      </x:c>
      <x:c r="X16" s="82" t="str">
        <x:v>Fica à frente de Sudowoodo porque possui velocidade 116.7% maior e ofensiva secundária 50.0% maior.</x:v>
      </x:c>
      <x:c r="Y16" s="154" t="str">
        <x:v>https://poke.idleworld.online/pokepedia/pokemon/sandslash</x:v>
      </x:c>
    </x:row>
    <x:row r="17" ht="48" customHeight="1">
      <x:c r="A17" s="82" t="n">
        <x:f>IF(U17&lt;&gt;"Rankeado","",COUNTIFS($U$5:$U$38,"Rankeado",$I$5:$I$38,"&gt;"&amp;I17)+COUNTIFS($U$5:U17,"Rankeado",$I$5:I17,I17))</x:f>
        <x:v>13</x:v>
      </x:c>
      <x:c r="B17" s="82" t="n">
        <x:f>COUNTIF($I$5:$I$38,"&gt;"&amp;I17)+COUNTIF($I$5:I17,I17)</x:f>
        <x:v>13</x:v>
      </x:c>
      <x:c r="C17" s="82" t="str">
        <x:f>IF(I17&gt;=80,"S+",IF(I17&gt;=72,"S",IF(I17&gt;=65,"A",IF(I17&gt;=58,"B",IF(I17&gt;=50,"C",IF(I17&gt;=42,"D","E"))))))</x:f>
        <x:v>C</x:v>
      </x:c>
      <x:c r="D17" s="82" t="str">
        <x:f>IF(AND(U17="Rankeado",A17&lt;=6),"Sim","Não")</x:f>
        <x:v>Não</x:v>
      </x:c>
      <x:c r="E17" s="82" t="n">
        <x:v>185</x:v>
      </x:c>
      <x:c r="F17" s="80" t="str">
        <x:v>Sudowoodo</x:v>
      </x:c>
      <x:c r="G17" s="82" t="str">
        <x:v>Pedra</x:v>
      </x:c>
      <x:c r="H17" s="82" t="str">
        <x:v>Físico</x:v>
      </x:c>
      <x:c r="I17" s="142" t="n">
        <x:f>ROUND(100*(Metodologia!$B$17*(Q17/Metodologia!$B$22)+Metodologia!$B$18*(R17/Metodologia!$B$23)+Metodologia!$B$19*(S17/Metodologia!$B$24)+Metodologia!$B$20*(P17/Metodologia!$B$25)+Metodologia!$B$21*(J17/Metodologia!$B$26)),2)</x:f>
        <x:v>55.46</x:v>
      </x:c>
      <x:c r="J17" s="82" t="n">
        <x:f>SUM(K17:P17)</x:f>
        <x:v>410</x:v>
      </x:c>
      <x:c r="K17" s="82" t="n">
        <x:v>70</x:v>
      </x:c>
      <x:c r="L17" s="82" t="n">
        <x:v>100</x:v>
      </x:c>
      <x:c r="M17" s="82" t="n">
        <x:v>115</x:v>
      </x:c>
      <x:c r="N17" s="82" t="n">
        <x:v>30</x:v>
      </x:c>
      <x:c r="O17" s="82" t="n">
        <x:v>65</x:v>
      </x:c>
      <x:c r="P17" s="82" t="n">
        <x:v>30</x:v>
      </x:c>
      <x:c r="Q17" s="143" t="n">
        <x:f>MAX(L17,N17)*Metodologia!$B$16</x:f>
        <x:v>130</x:v>
      </x:c>
      <x:c r="R17" s="143" t="n">
        <x:f>MIN(L17,N17)*Metodologia!$B$16</x:f>
        <x:v>39</x:v>
      </x:c>
      <x:c r="S17" s="143" t="n">
        <x:f>SQRT(K17*AVERAGE(M17,O17)*Metodologia!$B$16)</x:f>
        <x:v>90.49861877399013</x:v>
      </x:c>
      <x:c r="T17" s="82" t="str">
        <x:v>Não</x:v>
      </x:c>
      <x:c r="U17" s="82" t="str">
        <x:v>Rankeado</x:v>
      </x:c>
      <x:c r="V17" s="82" t="str">
        <x:v>Perfil físico; melhor atributo ofensivo 100, ofensiva secundária 30, robustez relativa 58% e Speed 30. O índice privilegia dano de hunt, sem ignorar sobrevivência.</x:v>
      </x:c>
      <x:c r="W17" s="82" t="str">
        <x:v>Fica atrás de Sandslash principalmente por velocidade 53.8% menor e ofensiva secundária 33.3% menor.</x:v>
      </x:c>
      <x:c r="X17" s="82" t="str">
        <x:v>Fica à frente de Steelix porque possui teto ofensivo 17.6% maior.</x:v>
      </x:c>
      <x:c r="Y17" s="154" t="str">
        <x:v>https://poke.idleworld.online/pokepedia/pokemon/sudowoodo</x:v>
      </x:c>
    </x:row>
    <x:row r="18" ht="48" customHeight="1">
      <x:c r="A18" s="82" t="n">
        <x:f>IF(U18&lt;&gt;"Rankeado","",COUNTIFS($U$5:$U$38,"Rankeado",$I$5:$I$38,"&gt;"&amp;I18)+COUNTIFS($U$5:U18,"Rankeado",$I$5:I18,I18))</x:f>
        <x:v>14</x:v>
      </x:c>
      <x:c r="B18" s="82" t="n">
        <x:f>COUNTIF($I$5:$I$38,"&gt;"&amp;I18)+COUNTIF($I$5:I18,I18)</x:f>
        <x:v>14</x:v>
      </x:c>
      <x:c r="C18" s="82" t="str">
        <x:f>IF(I18&gt;=80,"S+",IF(I18&gt;=72,"S",IF(I18&gt;=65,"A",IF(I18&gt;=58,"B",IF(I18&gt;=50,"C",IF(I18&gt;=42,"D","E"))))))</x:f>
        <x:v>C</x:v>
      </x:c>
      <x:c r="D18" s="82" t="str">
        <x:f>IF(AND(U18="Rankeado",A18&lt;=6),"Sim","Não")</x:f>
        <x:v>Não</x:v>
      </x:c>
      <x:c r="E18" s="82" t="n">
        <x:v>208</x:v>
      </x:c>
      <x:c r="F18" s="80" t="str">
        <x:v>Steelix</x:v>
      </x:c>
      <x:c r="G18" s="82" t="str">
        <x:v>Aço / Terra</x:v>
      </x:c>
      <x:c r="H18" s="82" t="str">
        <x:v>Físico</x:v>
      </x:c>
      <x:c r="I18" s="142" t="n">
        <x:f>ROUND(100*(Metodologia!$B$17*(Q18/Metodologia!$B$22)+Metodologia!$B$18*(R18/Metodologia!$B$23)+Metodologia!$B$19*(S18/Metodologia!$B$24)+Metodologia!$B$20*(P18/Metodologia!$B$25)+Metodologia!$B$21*(J18/Metodologia!$B$26)),2)</x:f>
        <x:v>54.86</x:v>
      </x:c>
      <x:c r="J18" s="82" t="n">
        <x:f>SUM(K18:P18)</x:f>
        <x:v>510</x:v>
      </x:c>
      <x:c r="K18" s="82" t="n">
        <x:v>75</x:v>
      </x:c>
      <x:c r="L18" s="82" t="n">
        <x:v>85</x:v>
      </x:c>
      <x:c r="M18" s="82" t="n">
        <x:v>200</x:v>
      </x:c>
      <x:c r="N18" s="82" t="n">
        <x:v>55</x:v>
      </x:c>
      <x:c r="O18" s="82" t="n">
        <x:v>65</x:v>
      </x:c>
      <x:c r="P18" s="82" t="n">
        <x:v>30</x:v>
      </x:c>
      <x:c r="Q18" s="143" t="n">
        <x:f>MAX(L18,N18)*Metodologia!$B$16</x:f>
        <x:v>110.5</x:v>
      </x:c>
      <x:c r="R18" s="143" t="n">
        <x:f>MIN(L18,N18)*Metodologia!$B$16</x:f>
        <x:v>71.5</x:v>
      </x:c>
      <x:c r="S18" s="143" t="n">
        <x:f>SQRT(K18*AVERAGE(M18,O18)*Metodologia!$B$16)</x:f>
        <x:v>113.66067921669305</x:v>
      </x:c>
      <x:c r="T18" s="82" t="str">
        <x:v>Sim</x:v>
      </x:c>
      <x:c r="U18" s="82" t="str">
        <x:v>Rankeado</x:v>
      </x:c>
      <x:c r="V18" s="82" t="str">
        <x:v>Perfil físico; melhor atributo ofensivo 85, ofensiva secundária 55, robustez relativa 73% e Speed 30. O índice privilegia dano de hunt, sem ignorar sobrevivência.</x:v>
      </x:c>
      <x:c r="W18" s="82" t="str">
        <x:v>Fica atrás de Sudowoodo principalmente por teto ofensivo 15.0% menor.</x:v>
      </x:c>
      <x:c r="X18" s="82" t="str">
        <x:v>Fica à frente de Quagsire porque possui robustez sustentada 18.1% maior e total de stats 18.6% maior.</x:v>
      </x:c>
      <x:c r="Y18" s="154" t="str">
        <x:v>https://poke.idleworld.online/pokepedia/pokemon/steelix</x:v>
      </x:c>
    </x:row>
    <x:row r="19" ht="48" customHeight="1">
      <x:c r="A19" s="82" t="n">
        <x:f>IF(U19&lt;&gt;"Rankeado","",COUNTIFS($U$5:$U$38,"Rankeado",$I$5:$I$38,"&gt;"&amp;I19)+COUNTIFS($U$5:U19,"Rankeado",$I$5:I19,I19))</x:f>
        <x:v>15</x:v>
      </x:c>
      <x:c r="B19" s="82" t="n">
        <x:f>COUNTIF($I$5:$I$38,"&gt;"&amp;I19)+COUNTIF($I$5:I19,I19)</x:f>
        <x:v>15</x:v>
      </x:c>
      <x:c r="C19" s="82" t="str">
        <x:f>IF(I19&gt;=80,"S+",IF(I19&gt;=72,"S",IF(I19&gt;=65,"A",IF(I19&gt;=58,"B",IF(I19&gt;=50,"C",IF(I19&gt;=42,"D","E"))))))</x:f>
        <x:v>C</x:v>
      </x:c>
      <x:c r="D19" s="82" t="str">
        <x:f>IF(AND(U19="Rankeado",A19&lt;=6),"Sim","Não")</x:f>
        <x:v>Não</x:v>
      </x:c>
      <x:c r="E19" s="82" t="n">
        <x:v>195</x:v>
      </x:c>
      <x:c r="F19" s="80" t="str">
        <x:v>Quagsire</x:v>
      </x:c>
      <x:c r="G19" s="82" t="str">
        <x:v>Água / Terra</x:v>
      </x:c>
      <x:c r="H19" s="82" t="str">
        <x:v>Físico</x:v>
      </x:c>
      <x:c r="I19" s="142" t="n">
        <x:f>ROUND(100*(Metodologia!$B$17*(Q19/Metodologia!$B$22)+Metodologia!$B$18*(R19/Metodologia!$B$23)+Metodologia!$B$19*(S19/Metodologia!$B$24)+Metodologia!$B$20*(P19/Metodologia!$B$25)+Metodologia!$B$21*(J19/Metodologia!$B$26)),2)</x:f>
        <x:v>53.83</x:v>
      </x:c>
      <x:c r="J19" s="82" t="n">
        <x:f>SUM(K19:P19)</x:f>
        <x:v>430</x:v>
      </x:c>
      <x:c r="K19" s="82" t="n">
        <x:v>95</x:v>
      </x:c>
      <x:c r="L19" s="82" t="n">
        <x:v>85</x:v>
      </x:c>
      <x:c r="M19" s="82" t="n">
        <x:v>85</x:v>
      </x:c>
      <x:c r="N19" s="82" t="n">
        <x:v>65</x:v>
      </x:c>
      <x:c r="O19" s="82" t="n">
        <x:v>65</x:v>
      </x:c>
      <x:c r="P19" s="82" t="n">
        <x:v>35</x:v>
      </x:c>
      <x:c r="Q19" s="143" t="n">
        <x:f>MAX(L19,N19)*Metodologia!$B$16</x:f>
        <x:v>110.5</x:v>
      </x:c>
      <x:c r="R19" s="143" t="n">
        <x:f>MIN(L19,N19)*Metodologia!$B$16</x:f>
        <x:v>84.5</x:v>
      </x:c>
      <x:c r="S19" s="143" t="n">
        <x:f>SQRT(K19*AVERAGE(M19,O19)*Metodologia!$B$16)</x:f>
        <x:v>96.24188277460078</x:v>
      </x:c>
      <x:c r="T19" s="82" t="str">
        <x:v>Sim</x:v>
      </x:c>
      <x:c r="U19" s="82" t="str">
        <x:v>Rankeado</x:v>
      </x:c>
      <x:c r="V19" s="82" t="str">
        <x:v>Perfil físico; melhor atributo ofensivo 85, ofensiva secundária 65, robustez relativa 62% e Speed 35. O índice privilegia dano de hunt, sem ignorar sobrevivência.</x:v>
      </x:c>
      <x:c r="W19" s="82" t="str">
        <x:v>Fica atrás de Steelix principalmente por robustez sustentada 15.3% menor e total de stats 15.7% menor.</x:v>
      </x:c>
      <x:c r="X19" s="82" t="str">
        <x:v>Fica à frente de Graveler porque possui robustez sustentada 27.3% maior e ofensiva secundária 44.4% maior.</x:v>
      </x:c>
      <x:c r="Y19" s="154" t="str">
        <x:v>https://poke.idleworld.online/pokepedia/pokemon/quagsire</x:v>
      </x:c>
    </x:row>
    <x:row r="20" ht="48" customHeight="1">
      <x:c r="A20" s="82" t="n">
        <x:f>IF(U20&lt;&gt;"Rankeado","",COUNTIFS($U$5:$U$38,"Rankeado",$I$5:$I$38,"&gt;"&amp;I20)+COUNTIFS($U$5:U20,"Rankeado",$I$5:I20,I20))</x:f>
        <x:v>16</x:v>
      </x:c>
      <x:c r="B20" s="82" t="n">
        <x:f>COUNTIF($I$5:$I$38,"&gt;"&amp;I20)+COUNTIF($I$5:I20,I20)</x:f>
        <x:v>16</x:v>
      </x:c>
      <x:c r="C20" s="82" t="str">
        <x:f>IF(I20&gt;=80,"S+",IF(I20&gt;=72,"S",IF(I20&gt;=65,"A",IF(I20&gt;=58,"B",IF(I20&gt;=50,"C",IF(I20&gt;=42,"D","E"))))))</x:f>
        <x:v>C</x:v>
      </x:c>
      <x:c r="D20" s="82" t="str">
        <x:f>IF(AND(U20="Rankeado",A20&lt;=6),"Sim","Não")</x:f>
        <x:v>Não</x:v>
      </x:c>
      <x:c r="E20" s="82" t="n">
        <x:v>75</x:v>
      </x:c>
      <x:c r="F20" s="80" t="str">
        <x:v>Graveler</x:v>
      </x:c>
      <x:c r="G20" s="82" t="str">
        <x:v>Pedra / Terra</x:v>
      </x:c>
      <x:c r="H20" s="82" t="str">
        <x:v>Físico</x:v>
      </x:c>
      <x:c r="I20" s="142" t="n">
        <x:f>ROUND(100*(Metodologia!$B$17*(Q20/Metodologia!$B$22)+Metodologia!$B$18*(R20/Metodologia!$B$23)+Metodologia!$B$19*(S20/Metodologia!$B$24)+Metodologia!$B$20*(P20/Metodologia!$B$25)+Metodologia!$B$21*(J20/Metodologia!$B$26)),2)</x:f>
        <x:v>53.62</x:v>
      </x:c>
      <x:c r="J20" s="82" t="n">
        <x:f>SUM(K20:P20)</x:f>
        <x:v>390</x:v>
      </x:c>
      <x:c r="K20" s="82" t="n">
        <x:v>55</x:v>
      </x:c>
      <x:c r="L20" s="82" t="n">
        <x:v>95</x:v>
      </x:c>
      <x:c r="M20" s="82" t="n">
        <x:v>115</x:v>
      </x:c>
      <x:c r="N20" s="82" t="n">
        <x:v>45</x:v>
      </x:c>
      <x:c r="O20" s="82" t="n">
        <x:v>45</x:v>
      </x:c>
      <x:c r="P20" s="82" t="n">
        <x:v>35</x:v>
      </x:c>
      <x:c r="Q20" s="143" t="n">
        <x:f>MAX(L20,N20)*Metodologia!$B$16</x:f>
        <x:v>123.5</x:v>
      </x:c>
      <x:c r="R20" s="143" t="n">
        <x:f>MIN(L20,N20)*Metodologia!$B$16</x:f>
        <x:v>58.5</x:v>
      </x:c>
      <x:c r="S20" s="143" t="n">
        <x:f>SQRT(K20*AVERAGE(M20,O20)*Metodologia!$B$16)</x:f>
        <x:v>75.63068160475615</x:v>
      </x:c>
      <x:c r="T20" s="82" t="str">
        <x:v>Sim</x:v>
      </x:c>
      <x:c r="U20" s="82" t="str">
        <x:v>Rankeado</x:v>
      </x:c>
      <x:c r="V20" s="82" t="str">
        <x:v>Perfil físico; melhor atributo ofensivo 95, ofensiva secundária 45, robustez relativa 49% e Speed 35. O índice privilegia dano de hunt, sem ignorar sobrevivência.</x:v>
      </x:c>
      <x:c r="W20" s="82" t="str">
        <x:v>Fica atrás de Quagsire principalmente por robustez sustentada 21.4% menor e ofensiva secundária 30.8% menor.</x:v>
      </x:c>
      <x:c r="X20" s="82" t="str">
        <x:v>Fica à frente de Magcargo porque possui teto ofensivo 5.6% maior e velocidade 16.7% maior.</x:v>
      </x:c>
      <x:c r="Y20" s="154" t="str">
        <x:v>https://poke.idleworld.online/pokepedia/pokemon/graveler</x:v>
      </x:c>
    </x:row>
    <x:row r="21" ht="48" customHeight="1">
      <x:c r="A21" s="82" t="n">
        <x:f>IF(U21&lt;&gt;"Rankeado","",COUNTIFS($U$5:$U$38,"Rankeado",$I$5:$I$38,"&gt;"&amp;I21)+COUNTIFS($U$5:U21,"Rankeado",$I$5:I21,I21))</x:f>
        <x:v>17</x:v>
      </x:c>
      <x:c r="B21" s="82" t="n">
        <x:f>COUNTIF($I$5:$I$38,"&gt;"&amp;I21)+COUNTIF($I$5:I21,I21)</x:f>
        <x:v>17</x:v>
      </x:c>
      <x:c r="C21" s="82" t="str">
        <x:f>IF(I21&gt;=80,"S+",IF(I21&gt;=72,"S",IF(I21&gt;=65,"A",IF(I21&gt;=58,"B",IF(I21&gt;=50,"C",IF(I21&gt;=42,"D","E"))))))</x:f>
        <x:v>C</x:v>
      </x:c>
      <x:c r="D21" s="82" t="str">
        <x:f>IF(AND(U21="Rankeado",A21&lt;=6),"Sim","Não")</x:f>
        <x:v>Não</x:v>
      </x:c>
      <x:c r="E21" s="82" t="n">
        <x:v>219</x:v>
      </x:c>
      <x:c r="F21" s="80" t="str">
        <x:v>Magcargo</x:v>
      </x:c>
      <x:c r="G21" s="82" t="str">
        <x:v>Fogo / Pedra</x:v>
      </x:c>
      <x:c r="H21" s="82" t="str">
        <x:v>Especial</x:v>
      </x:c>
      <x:c r="I21" s="142" t="n">
        <x:f>ROUND(100*(Metodologia!$B$17*(Q21/Metodologia!$B$22)+Metodologia!$B$18*(R21/Metodologia!$B$23)+Metodologia!$B$19*(S21/Metodologia!$B$24)+Metodologia!$B$20*(P21/Metodologia!$B$25)+Metodologia!$B$21*(J21/Metodologia!$B$26)),2)</x:f>
        <x:v>53.32</x:v>
      </x:c>
      <x:c r="J21" s="82" t="n">
        <x:f>SUM(K21:P21)</x:f>
        <x:v>430</x:v>
      </x:c>
      <x:c r="K21" s="82" t="n">
        <x:v>60</x:v>
      </x:c>
      <x:c r="L21" s="82" t="n">
        <x:v>50</x:v>
      </x:c>
      <x:c r="M21" s="82" t="n">
        <x:v>120</x:v>
      </x:c>
      <x:c r="N21" s="82" t="n">
        <x:v>90</x:v>
      </x:c>
      <x:c r="O21" s="82" t="n">
        <x:v>80</x:v>
      </x:c>
      <x:c r="P21" s="82" t="n">
        <x:v>30</x:v>
      </x:c>
      <x:c r="Q21" s="143" t="n">
        <x:f>MAX(L21,N21)*Metodologia!$B$16</x:f>
        <x:v>117</x:v>
      </x:c>
      <x:c r="R21" s="143" t="n">
        <x:f>MIN(L21,N21)*Metodologia!$B$16</x:f>
        <x:v>65</x:v>
      </x:c>
      <x:c r="S21" s="143" t="n">
        <x:f>SQRT(K21*AVERAGE(M21,O21)*Metodologia!$B$16)</x:f>
        <x:v>88.31760866327846</x:v>
      </x:c>
      <x:c r="T21" s="82" t="str">
        <x:v>Sim</x:v>
      </x:c>
      <x:c r="U21" s="82" t="str">
        <x:v>Rankeado</x:v>
      </x:c>
      <x:c r="V21" s="82" t="str">
        <x:v>Perfil especial; melhor atributo ofensivo 90, ofensiva secundária 50, robustez relativa 57% e Speed 30. O índice privilegia dano de hunt, sem ignorar sobrevivência.</x:v>
      </x:c>
      <x:c r="W21" s="82" t="str">
        <x:v>Fica atrás de Graveler principalmente por teto ofensivo 5.3% menor e velocidade 14.3% menor.</x:v>
      </x:c>
      <x:c r="X21" s="82" t="str">
        <x:v>Fica à frente de Pupitar porque possui teto ofensivo 7.1% maior e robustez sustentada 10.7% maior.</x:v>
      </x:c>
      <x:c r="Y21" s="154" t="str">
        <x:v>https://poke.idleworld.online/pokepedia/pokemon/magcargo</x:v>
      </x:c>
    </x:row>
    <x:row r="22" ht="48" customHeight="1">
      <x:c r="A22" s="82" t="n">
        <x:f>IF(U22&lt;&gt;"Rankeado","",COUNTIFS($U$5:$U$38,"Rankeado",$I$5:$I$38,"&gt;"&amp;I22)+COUNTIFS($U$5:U22,"Rankeado",$I$5:I22,I22))</x:f>
        <x:v>18</x:v>
      </x:c>
      <x:c r="B22" s="82" t="n">
        <x:f>COUNTIF($I$5:$I$38,"&gt;"&amp;I22)+COUNTIF($I$5:I22,I22)</x:f>
        <x:v>18</x:v>
      </x:c>
      <x:c r="C22" s="82" t="str">
        <x:f>IF(I22&gt;=80,"S+",IF(I22&gt;=72,"S",IF(I22&gt;=65,"A",IF(I22&gt;=58,"B",IF(I22&gt;=50,"C",IF(I22&gt;=42,"D","E"))))))</x:f>
        <x:v>C</x:v>
      </x:c>
      <x:c r="D22" s="82" t="str">
        <x:f>IF(AND(U22="Rankeado",A22&lt;=6),"Sim","Não")</x:f>
        <x:v>Não</x:v>
      </x:c>
      <x:c r="E22" s="82" t="n">
        <x:v>247</x:v>
      </x:c>
      <x:c r="F22" s="80" t="str">
        <x:v>Pupitar</x:v>
      </x:c>
      <x:c r="G22" s="82" t="str">
        <x:v>Pedra / Terra</x:v>
      </x:c>
      <x:c r="H22" s="82" t="str">
        <x:v>Físico</x:v>
      </x:c>
      <x:c r="I22" s="142" t="n">
        <x:f>ROUND(100*(Metodologia!$B$17*(Q22/Metodologia!$B$22)+Metodologia!$B$18*(R22/Metodologia!$B$23)+Metodologia!$B$19*(S22/Metodologia!$B$24)+Metodologia!$B$20*(P22/Metodologia!$B$25)+Metodologia!$B$21*(J22/Metodologia!$B$26)),2)</x:f>
        <x:v>52.77</x:v>
      </x:c>
      <x:c r="J22" s="82" t="n">
        <x:f>SUM(K22:P22)</x:f>
        <x:v>410</x:v>
      </x:c>
      <x:c r="K22" s="82" t="n">
        <x:v>70</x:v>
      </x:c>
      <x:c r="L22" s="82" t="n">
        <x:v>84</x:v>
      </x:c>
      <x:c r="M22" s="82" t="n">
        <x:v>70</x:v>
      </x:c>
      <x:c r="N22" s="82" t="n">
        <x:v>65</x:v>
      </x:c>
      <x:c r="O22" s="82" t="n">
        <x:v>70</x:v>
      </x:c>
      <x:c r="P22" s="82" t="n">
        <x:v>51</x:v>
      </x:c>
      <x:c r="Q22" s="143" t="n">
        <x:f>MAX(L22,N22)*Metodologia!$B$16</x:f>
        <x:v>109.2</x:v>
      </x:c>
      <x:c r="R22" s="143" t="n">
        <x:f>MIN(L22,N22)*Metodologia!$B$16</x:f>
        <x:v>84.5</x:v>
      </x:c>
      <x:c r="S22" s="143" t="n">
        <x:f>SQRT(K22*AVERAGE(M22,O22)*Metodologia!$B$16)</x:f>
        <x:v>79.81227975693966</x:v>
      </x:c>
      <x:c r="T22" s="82" t="str">
        <x:v>Sim</x:v>
      </x:c>
      <x:c r="U22" s="82" t="str">
        <x:v>Rankeado</x:v>
      </x:c>
      <x:c r="V22" s="82" t="str">
        <x:v>Perfil físico; melhor atributo ofensivo 84, ofensiva secundária 65, robustez relativa 51% e Speed 51. O índice privilegia dano de hunt, sem ignorar sobrevivência.</x:v>
      </x:c>
      <x:c r="W22" s="82" t="str">
        <x:v>Fica atrás de Magcargo principalmente por teto ofensivo 6.7% menor e robustez sustentada 9.6% menor.</x:v>
      </x:c>
      <x:c r="X22" s="82" t="str">
        <x:v>Fica à frente de Marowak porque possui teto ofensivo 5.0% maior e ofensiva secundária 30.0% maior.</x:v>
      </x:c>
      <x:c r="Y22" s="154" t="str">
        <x:v>https://poke.idleworld.online/pokepedia/pokemon/pupitar</x:v>
      </x:c>
    </x:row>
    <x:row r="23" ht="48" customHeight="1">
      <x:c r="A23" s="82" t="n">
        <x:f>IF(U23&lt;&gt;"Rankeado","",COUNTIFS($U$5:$U$38,"Rankeado",$I$5:$I$38,"&gt;"&amp;I23)+COUNTIFS($U$5:U23,"Rankeado",$I$5:I23,I23))</x:f>
        <x:v>19</x:v>
      </x:c>
      <x:c r="B23" s="82" t="n">
        <x:f>COUNTIF($I$5:$I$38,"&gt;"&amp;I23)+COUNTIF($I$5:I23,I23)</x:f>
        <x:v>19</x:v>
      </x:c>
      <x:c r="C23" s="82" t="str">
        <x:f>IF(I23&gt;=80,"S+",IF(I23&gt;=72,"S",IF(I23&gt;=65,"A",IF(I23&gt;=58,"B",IF(I23&gt;=50,"C",IF(I23&gt;=42,"D","E"))))))</x:f>
        <x:v>C</x:v>
      </x:c>
      <x:c r="D23" s="82" t="str">
        <x:f>IF(AND(U23="Rankeado",A23&lt;=6),"Sim","Não")</x:f>
        <x:v>Não</x:v>
      </x:c>
      <x:c r="E23" s="82" t="n">
        <x:v>105</x:v>
      </x:c>
      <x:c r="F23" s="80" t="str">
        <x:v>Marowak</x:v>
      </x:c>
      <x:c r="G23" s="82" t="str">
        <x:v>Terra</x:v>
      </x:c>
      <x:c r="H23" s="82" t="str">
        <x:v>Físico</x:v>
      </x:c>
      <x:c r="I23" s="142" t="n">
        <x:f>ROUND(100*(Metodologia!$B$17*(Q23/Metodologia!$B$22)+Metodologia!$B$18*(R23/Metodologia!$B$23)+Metodologia!$B$19*(S23/Metodologia!$B$24)+Metodologia!$B$20*(P23/Metodologia!$B$25)+Metodologia!$B$21*(J23/Metodologia!$B$26)),2)</x:f>
        <x:v>50.17</x:v>
      </x:c>
      <x:c r="J23" s="82" t="n">
        <x:f>SUM(K23:P23)</x:f>
        <x:v>425</x:v>
      </x:c>
      <x:c r="K23" s="82" t="n">
        <x:v>60</x:v>
      </x:c>
      <x:c r="L23" s="82" t="n">
        <x:v>80</x:v>
      </x:c>
      <x:c r="M23" s="82" t="n">
        <x:v>110</x:v>
      </x:c>
      <x:c r="N23" s="82" t="n">
        <x:v>50</x:v>
      </x:c>
      <x:c r="O23" s="82" t="n">
        <x:v>80</x:v>
      </x:c>
      <x:c r="P23" s="82" t="n">
        <x:v>45</x:v>
      </x:c>
      <x:c r="Q23" s="143" t="n">
        <x:f>MAX(L23,N23)*Metodologia!$B$16</x:f>
        <x:v>104</x:v>
      </x:c>
      <x:c r="R23" s="143" t="n">
        <x:f>MIN(L23,N23)*Metodologia!$B$16</x:f>
        <x:v>65</x:v>
      </x:c>
      <x:c r="S23" s="143" t="n">
        <x:f>SQRT(K23*AVERAGE(M23,O23)*Metodologia!$B$16)</x:f>
        <x:v>86.08135686662938</x:v>
      </x:c>
      <x:c r="T23" s="82" t="str">
        <x:v>Sim</x:v>
      </x:c>
      <x:c r="U23" s="82" t="str">
        <x:v>Rankeado</x:v>
      </x:c>
      <x:c r="V23" s="82" t="str">
        <x:v>Perfil físico; melhor atributo ofensivo 80, ofensiva secundária 50, robustez relativa 56% e Speed 45. O índice privilegia dano de hunt, sem ignorar sobrevivência.</x:v>
      </x:c>
      <x:c r="W23" s="82" t="str">
        <x:v>Fica atrás de Pupitar principalmente por teto ofensivo 4.8% menor e ofensiva secundária 23.1% menor.</x:v>
      </x:c>
      <x:c r="X23" s="82" t="str">
        <x:v>Fica à frente de Gligar porque possui teto ofensivo 6.7% maior e ofensiva secundária 42.9% maior.</x:v>
      </x:c>
      <x:c r="Y23" s="154" t="str">
        <x:v>https://poke.idleworld.online/pokepedia/pokemon/marowak</x:v>
      </x:c>
    </x:row>
    <x:row r="24" ht="48" customHeight="1">
      <x:c r="A24" s="82" t="n">
        <x:f>IF(U24&lt;&gt;"Rankeado","",COUNTIFS($U$5:$U$38,"Rankeado",$I$5:$I$38,"&gt;"&amp;I24)+COUNTIFS($U$5:U24,"Rankeado",$I$5:I24,I24))</x:f>
        <x:v>20</x:v>
      </x:c>
      <x:c r="B24" s="82" t="n">
        <x:f>COUNTIF($I$5:$I$38,"&gt;"&amp;I24)+COUNTIF($I$5:I24,I24)</x:f>
        <x:v>20</x:v>
      </x:c>
      <x:c r="C24" s="82" t="str">
        <x:f>IF(I24&gt;=80,"S+",IF(I24&gt;=72,"S",IF(I24&gt;=65,"A",IF(I24&gt;=58,"B",IF(I24&gt;=50,"C",IF(I24&gt;=42,"D","E"))))))</x:f>
        <x:v>D</x:v>
      </x:c>
      <x:c r="D24" s="82" t="str">
        <x:f>IF(AND(U24="Rankeado",A24&lt;=6),"Sim","Não")</x:f>
        <x:v>Não</x:v>
      </x:c>
      <x:c r="E24" s="82" t="n">
        <x:v>207</x:v>
      </x:c>
      <x:c r="F24" s="80" t="str">
        <x:v>Gligar</x:v>
      </x:c>
      <x:c r="G24" s="82" t="str">
        <x:v>Terra / Voador</x:v>
      </x:c>
      <x:c r="H24" s="82" t="str">
        <x:v>Físico</x:v>
      </x:c>
      <x:c r="I24" s="142" t="n">
        <x:f>ROUND(100*(Metodologia!$B$17*(Q24/Metodologia!$B$22)+Metodologia!$B$18*(R24/Metodologia!$B$23)+Metodologia!$B$19*(S24/Metodologia!$B$24)+Metodologia!$B$20*(P24/Metodologia!$B$25)+Metodologia!$B$21*(J24/Metodologia!$B$26)),2)</x:f>
        <x:v>49.43</x:v>
      </x:c>
      <x:c r="J24" s="82" t="n">
        <x:f>SUM(K24:P24)</x:f>
        <x:v>430</x:v>
      </x:c>
      <x:c r="K24" s="82" t="n">
        <x:v>65</x:v>
      </x:c>
      <x:c r="L24" s="82" t="n">
        <x:v>75</x:v>
      </x:c>
      <x:c r="M24" s="82" t="n">
        <x:v>105</x:v>
      </x:c>
      <x:c r="N24" s="82" t="n">
        <x:v>35</x:v>
      </x:c>
      <x:c r="O24" s="82" t="n">
        <x:v>65</x:v>
      </x:c>
      <x:c r="P24" s="82" t="n">
        <x:v>85</x:v>
      </x:c>
      <x:c r="Q24" s="143" t="n">
        <x:f>MAX(L24,N24)*Metodologia!$B$16</x:f>
        <x:v>97.5</x:v>
      </x:c>
      <x:c r="R24" s="143" t="n">
        <x:f>MIN(L24,N24)*Metodologia!$B$16</x:f>
        <x:v>45.5</x:v>
      </x:c>
      <x:c r="S24" s="143" t="n">
        <x:f>SQRT(K24*AVERAGE(M24,O24)*Metodologia!$B$16)</x:f>
        <x:v>84.74963126763443</x:v>
      </x:c>
      <x:c r="T24" s="82" t="str">
        <x:v>Sim</x:v>
      </x:c>
      <x:c r="U24" s="82" t="str">
        <x:v>Rankeado</x:v>
      </x:c>
      <x:c r="V24" s="82" t="str">
        <x:v>Perfil físico; melhor atributo ofensivo 75, ofensiva secundária 35, robustez relativa 55% e Speed 85. O índice privilegia dano de hunt, sem ignorar sobrevivência.</x:v>
      </x:c>
      <x:c r="W24" s="82" t="str">
        <x:v>Fica atrás de Marowak principalmente por teto ofensivo 6.2% menor e ofensiva secundária 30.0% menor.</x:v>
      </x:c>
      <x:c r="X24" s="82" t="str">
        <x:v>Fica à frente de Omanyte porque possui velocidade 142.9% maior e robustez sustentada 42.7% maior.</x:v>
      </x:c>
      <x:c r="Y24" s="154" t="str">
        <x:v>https://poke.idleworld.online/pokepedia/pokemon/gligar</x:v>
      </x:c>
    </x:row>
    <x:row r="25" ht="48" customHeight="1">
      <x:c r="A25" s="82" t="n">
        <x:f>IF(U25&lt;&gt;"Rankeado","",COUNTIFS($U$5:$U$38,"Rankeado",$I$5:$I$38,"&gt;"&amp;I25)+COUNTIFS($U$5:U25,"Rankeado",$I$5:I25,I25))</x:f>
        <x:v>21</x:v>
      </x:c>
      <x:c r="B25" s="82" t="n">
        <x:f>COUNTIF($I$5:$I$38,"&gt;"&amp;I25)+COUNTIF($I$5:I25,I25)</x:f>
        <x:v>21</x:v>
      </x:c>
      <x:c r="C25" s="82" t="str">
        <x:f>IF(I25&gt;=80,"S+",IF(I25&gt;=72,"S",IF(I25&gt;=65,"A",IF(I25&gt;=58,"B",IF(I25&gt;=50,"C",IF(I25&gt;=42,"D","E"))))))</x:f>
        <x:v>D</x:v>
      </x:c>
      <x:c r="D25" s="82" t="str">
        <x:f>IF(AND(U25="Rankeado",A25&lt;=6),"Sim","Não")</x:f>
        <x:v>Não</x:v>
      </x:c>
      <x:c r="E25" s="82" t="n">
        <x:v>138</x:v>
      </x:c>
      <x:c r="F25" s="80" t="str">
        <x:v>Omanyte</x:v>
      </x:c>
      <x:c r="G25" s="82" t="str">
        <x:v>Pedra / Água</x:v>
      </x:c>
      <x:c r="H25" s="82" t="str">
        <x:v>Especial</x:v>
      </x:c>
      <x:c r="I25" s="142" t="n">
        <x:f>ROUND(100*(Metodologia!$B$17*(Q25/Metodologia!$B$22)+Metodologia!$B$18*(R25/Metodologia!$B$23)+Metodologia!$B$19*(S25/Metodologia!$B$24)+Metodologia!$B$20*(P25/Metodologia!$B$25)+Metodologia!$B$21*(J25/Metodologia!$B$26)),2)</x:f>
        <x:v>49.39</x:v>
      </x:c>
      <x:c r="J25" s="82" t="n">
        <x:f>SUM(K25:P25)</x:f>
        <x:v>355</x:v>
      </x:c>
      <x:c r="K25" s="82" t="n">
        <x:v>35</x:v>
      </x:c>
      <x:c r="L25" s="82" t="n">
        <x:v>40</x:v>
      </x:c>
      <x:c r="M25" s="82" t="n">
        <x:v>100</x:v>
      </x:c>
      <x:c r="N25" s="82" t="n">
        <x:v>90</x:v>
      </x:c>
      <x:c r="O25" s="82" t="n">
        <x:v>55</x:v>
      </x:c>
      <x:c r="P25" s="82" t="n">
        <x:v>35</x:v>
      </x:c>
      <x:c r="Q25" s="143" t="n">
        <x:f>MAX(L25,N25)*Metodologia!$B$16</x:f>
        <x:v>117</x:v>
      </x:c>
      <x:c r="R25" s="143" t="n">
        <x:f>MIN(L25,N25)*Metodologia!$B$16</x:f>
        <x:v>52</x:v>
      </x:c>
      <x:c r="S25" s="143" t="n">
        <x:f>SQRT(K25*AVERAGE(M25,O25)*Metodologia!$B$16)</x:f>
        <x:v>59.38223640113262</x:v>
      </x:c>
      <x:c r="T25" s="82" t="str">
        <x:v>Sim</x:v>
      </x:c>
      <x:c r="U25" s="82" t="str">
        <x:v>Rankeado</x:v>
      </x:c>
      <x:c r="V25" s="82" t="str">
        <x:v>Perfil especial; melhor atributo ofensivo 90, ofensiva secundária 40, robustez relativa 38% e Speed 35. O índice privilegia dano de hunt, sem ignorar sobrevivência.</x:v>
      </x:c>
      <x:c r="W25" s="82" t="str">
        <x:v>Fica atrás de Gligar principalmente por velocidade 58.8% menor e robustez sustentada 29.9% menor.</x:v>
      </x:c>
      <x:c r="X25" s="82" t="str">
        <x:v>Fica à frente de Rhyhorn porque possui teto ofensivo 5.9% maior e ofensiva secundária 33.3% maior.</x:v>
      </x:c>
      <x:c r="Y25" s="154" t="str">
        <x:v>https://poke.idleworld.online/pokepedia/pokemon/omanyte</x:v>
      </x:c>
    </x:row>
    <x:row r="26" ht="48" customHeight="1">
      <x:c r="A26" s="82" t="n">
        <x:f>IF(U26&lt;&gt;"Rankeado","",COUNTIFS($U$5:$U$38,"Rankeado",$I$5:$I$38,"&gt;"&amp;I26)+COUNTIFS($U$5:U26,"Rankeado",$I$5:I26,I26))</x:f>
        <x:v>22</x:v>
      </x:c>
      <x:c r="B26" s="82" t="n">
        <x:f>COUNTIF($I$5:$I$38,"&gt;"&amp;I26)+COUNTIF($I$5:I26,I26)</x:f>
        <x:v>22</x:v>
      </x:c>
      <x:c r="C26" s="82" t="str">
        <x:f>IF(I26&gt;=80,"S+",IF(I26&gt;=72,"S",IF(I26&gt;=65,"A",IF(I26&gt;=58,"B",IF(I26&gt;=50,"C",IF(I26&gt;=42,"D","E"))))))</x:f>
        <x:v>D</x:v>
      </x:c>
      <x:c r="D26" s="82" t="str">
        <x:f>IF(AND(U26="Rankeado",A26&lt;=6),"Sim","Não")</x:f>
        <x:v>Não</x:v>
      </x:c>
      <x:c r="E26" s="82" t="n">
        <x:v>111</x:v>
      </x:c>
      <x:c r="F26" s="80" t="str">
        <x:v>Rhyhorn</x:v>
      </x:c>
      <x:c r="G26" s="82" t="str">
        <x:v>Terra / Pedra</x:v>
      </x:c>
      <x:c r="H26" s="82" t="str">
        <x:v>Físico</x:v>
      </x:c>
      <x:c r="I26" s="142" t="n">
        <x:f>ROUND(100*(Metodologia!$B$17*(Q26/Metodologia!$B$22)+Metodologia!$B$18*(R26/Metodologia!$B$23)+Metodologia!$B$19*(S26/Metodologia!$B$24)+Metodologia!$B$20*(P26/Metodologia!$B$25)+Metodologia!$B$21*(J26/Metodologia!$B$26)),2)</x:f>
        <x:v>47.85</x:v>
      </x:c>
      <x:c r="J26" s="82" t="n">
        <x:f>SUM(K26:P26)</x:f>
        <x:v>345</x:v>
      </x:c>
      <x:c r="K26" s="82" t="n">
        <x:v>80</x:v>
      </x:c>
      <x:c r="L26" s="82" t="n">
        <x:v>85</x:v>
      </x:c>
      <x:c r="M26" s="82" t="n">
        <x:v>95</x:v>
      </x:c>
      <x:c r="N26" s="82" t="n">
        <x:v>30</x:v>
      </x:c>
      <x:c r="O26" s="82" t="n">
        <x:v>30</x:v>
      </x:c>
      <x:c r="P26" s="82" t="n">
        <x:v>25</x:v>
      </x:c>
      <x:c r="Q26" s="143" t="n">
        <x:f>MAX(L26,N26)*Metodologia!$B$16</x:f>
        <x:v>110.5</x:v>
      </x:c>
      <x:c r="R26" s="143" t="n">
        <x:f>MIN(L26,N26)*Metodologia!$B$16</x:f>
        <x:v>39</x:v>
      </x:c>
      <x:c r="S26" s="143" t="n">
        <x:f>SQRT(K26*AVERAGE(M26,O26)*Metodologia!$B$16)</x:f>
        <x:v>80.62257748298549</x:v>
      </x:c>
      <x:c r="T26" s="82" t="str">
        <x:v>Sim</x:v>
      </x:c>
      <x:c r="U26" s="82" t="str">
        <x:v>Rankeado</x:v>
      </x:c>
      <x:c r="V26" s="82" t="str">
        <x:v>Perfil físico; melhor atributo ofensivo 85, ofensiva secundária 30, robustez relativa 52% e Speed 25. O índice privilegia dano de hunt, sem ignorar sobrevivência.</x:v>
      </x:c>
      <x:c r="W26" s="82" t="str">
        <x:v>Fica atrás de Omanyte principalmente por teto ofensivo 5.6% menor e ofensiva secundária 25.0% menor.</x:v>
      </x:c>
      <x:c r="X26" s="82" t="str">
        <x:v>Fica à frente de Kabuto porque possui robustez sustentada 57.1% maior e teto ofensivo 6.2% maior.</x:v>
      </x:c>
      <x:c r="Y26" s="154" t="str">
        <x:v>https://poke.idleworld.online/pokepedia/pokemon/rhyhorn</x:v>
      </x:c>
    </x:row>
    <x:row r="27" ht="48" customHeight="1">
      <x:c r="A27" s="82" t="n">
        <x:f>IF(U27&lt;&gt;"Rankeado","",COUNTIFS($U$5:$U$38,"Rankeado",$I$5:$I$38,"&gt;"&amp;I27)+COUNTIFS($U$5:U27,"Rankeado",$I$5:I27,I27))</x:f>
        <x:v>23</x:v>
      </x:c>
      <x:c r="B27" s="82" t="n">
        <x:f>COUNTIF($I$5:$I$38,"&gt;"&amp;I27)+COUNTIF($I$5:I27,I27)</x:f>
        <x:v>23</x:v>
      </x:c>
      <x:c r="C27" s="82" t="str">
        <x:f>IF(I27&gt;=80,"S+",IF(I27&gt;=72,"S",IF(I27&gt;=65,"A",IF(I27&gt;=58,"B",IF(I27&gt;=50,"C",IF(I27&gt;=42,"D","E"))))))</x:f>
        <x:v>D</x:v>
      </x:c>
      <x:c r="D27" s="82" t="str">
        <x:f>IF(AND(U27="Rankeado",A27&lt;=6),"Sim","Não")</x:f>
        <x:v>Não</x:v>
      </x:c>
      <x:c r="E27" s="82" t="n">
        <x:v>140</x:v>
      </x:c>
      <x:c r="F27" s="80" t="str">
        <x:v>Kabuto</x:v>
      </x:c>
      <x:c r="G27" s="82" t="str">
        <x:v>Pedra / Água</x:v>
      </x:c>
      <x:c r="H27" s="82" t="str">
        <x:v>Físico</x:v>
      </x:c>
      <x:c r="I27" s="142" t="n">
        <x:f>ROUND(100*(Metodologia!$B$17*(Q27/Metodologia!$B$22)+Metodologia!$B$18*(R27/Metodologia!$B$23)+Metodologia!$B$19*(S27/Metodologia!$B$24)+Metodologia!$B$20*(P27/Metodologia!$B$25)+Metodologia!$B$21*(J27/Metodologia!$B$26)),2)</x:f>
        <x:v>47.41</x:v>
      </x:c>
      <x:c r="J27" s="82" t="n">
        <x:f>SUM(K27:P27)</x:f>
        <x:v>355</x:v>
      </x:c>
      <x:c r="K27" s="82" t="n">
        <x:v>30</x:v>
      </x:c>
      <x:c r="L27" s="82" t="n">
        <x:v>80</x:v>
      </x:c>
      <x:c r="M27" s="82" t="n">
        <x:v>90</x:v>
      </x:c>
      <x:c r="N27" s="82" t="n">
        <x:v>55</x:v>
      </x:c>
      <x:c r="O27" s="82" t="n">
        <x:v>45</x:v>
      </x:c>
      <x:c r="P27" s="82" t="n">
        <x:v>55</x:v>
      </x:c>
      <x:c r="Q27" s="143" t="n">
        <x:f>MAX(L27,N27)*Metodologia!$B$16</x:f>
        <x:v>104</x:v>
      </x:c>
      <x:c r="R27" s="143" t="n">
        <x:f>MIN(L27,N27)*Metodologia!$B$16</x:f>
        <x:v>71.5</x:v>
      </x:c>
      <x:c r="S27" s="143" t="n">
        <x:f>SQRT(K27*AVERAGE(M27,O27)*Metodologia!$B$16)</x:f>
        <x:v>51.30789412946121</x:v>
      </x:c>
      <x:c r="T27" s="82" t="str">
        <x:v>Sim</x:v>
      </x:c>
      <x:c r="U27" s="82" t="str">
        <x:v>Rankeado</x:v>
      </x:c>
      <x:c r="V27" s="82" t="str">
        <x:v>Perfil físico; melhor atributo ofensivo 80, ofensiva secundária 55, robustez relativa 33% e Speed 55. O índice privilegia dano de hunt, sem ignorar sobrevivência.</x:v>
      </x:c>
      <x:c r="W27" s="82" t="str">
        <x:v>Fica atrás de Rhyhorn principalmente por robustez sustentada 36.4% menor e teto ofensivo 5.9% menor.</x:v>
      </x:c>
      <x:c r="X27" s="82" t="str">
        <x:v>Fica à frente de Corsola porque possui teto ofensivo 23.1% maior e velocidade 57.1% maior.</x:v>
      </x:c>
      <x:c r="Y27" s="154" t="str">
        <x:v>https://poke.idleworld.online/pokepedia/pokemon/kabuto</x:v>
      </x:c>
    </x:row>
    <x:row r="28" ht="48" customHeight="1">
      <x:c r="A28" s="82" t="n">
        <x:f>IF(U28&lt;&gt;"Rankeado","",COUNTIFS($U$5:$U$38,"Rankeado",$I$5:$I$38,"&gt;"&amp;I28)+COUNTIFS($U$5:U28,"Rankeado",$I$5:I28,I28))</x:f>
        <x:v>24</x:v>
      </x:c>
      <x:c r="B28" s="82" t="n">
        <x:f>COUNTIF($I$5:$I$38,"&gt;"&amp;I28)+COUNTIF($I$5:I28,I28)</x:f>
        <x:v>24</x:v>
      </x:c>
      <x:c r="C28" s="82" t="str">
        <x:f>IF(I28&gt;=80,"S+",IF(I28&gt;=72,"S",IF(I28&gt;=65,"A",IF(I28&gt;=58,"B",IF(I28&gt;=50,"C",IF(I28&gt;=42,"D","E"))))))</x:f>
        <x:v>D</x:v>
      </x:c>
      <x:c r="D28" s="82" t="str">
        <x:f>IF(AND(U28="Rankeado",A28&lt;=6),"Sim","Não")</x:f>
        <x:v>Não</x:v>
      </x:c>
      <x:c r="E28" s="82" t="n">
        <x:v>222</x:v>
      </x:c>
      <x:c r="F28" s="80" t="str">
        <x:v>Corsola</x:v>
      </x:c>
      <x:c r="G28" s="82" t="str">
        <x:v>Água / Pedra</x:v>
      </x:c>
      <x:c r="H28" s="82" t="str">
        <x:v>Misto</x:v>
      </x:c>
      <x:c r="I28" s="142" t="n">
        <x:f>ROUND(100*(Metodologia!$B$17*(Q28/Metodologia!$B$22)+Metodologia!$B$18*(R28/Metodologia!$B$23)+Metodologia!$B$19*(S28/Metodologia!$B$24)+Metodologia!$B$20*(P28/Metodologia!$B$25)+Metodologia!$B$21*(J28/Metodologia!$B$26)),2)</x:f>
        <x:v>44.34</x:v>
      </x:c>
      <x:c r="J28" s="82" t="n">
        <x:f>SUM(K28:P28)</x:f>
        <x:v>410</x:v>
      </x:c>
      <x:c r="K28" s="82" t="n">
        <x:v>65</x:v>
      </x:c>
      <x:c r="L28" s="82" t="n">
        <x:v>55</x:v>
      </x:c>
      <x:c r="M28" s="82" t="n">
        <x:v>95</x:v>
      </x:c>
      <x:c r="N28" s="82" t="n">
        <x:v>65</x:v>
      </x:c>
      <x:c r="O28" s="82" t="n">
        <x:v>95</x:v>
      </x:c>
      <x:c r="P28" s="82" t="n">
        <x:v>35</x:v>
      </x:c>
      <x:c r="Q28" s="143" t="n">
        <x:f>MAX(L28,N28)*Metodologia!$B$16</x:f>
        <x:v>84.5</x:v>
      </x:c>
      <x:c r="R28" s="143" t="n">
        <x:f>MIN(L28,N28)*Metodologia!$B$16</x:f>
        <x:v>71.5</x:v>
      </x:c>
      <x:c r="S28" s="143" t="n">
        <x:f>SQRT(K28*AVERAGE(M28,O28)*Metodologia!$B$16)</x:f>
        <x:v>89.59631688858644</x:v>
      </x:c>
      <x:c r="T28" s="82" t="str">
        <x:v>Não</x:v>
      </x:c>
      <x:c r="U28" s="82" t="str">
        <x:v>Rankeado</x:v>
      </x:c>
      <x:c r="V28" s="82" t="str">
        <x:v>Perfil misto; melhor atributo ofensivo 65, ofensiva secundária 55, robustez relativa 58% e Speed 35. O índice privilegia dano de hunt, sem ignorar sobrevivência.</x:v>
      </x:c>
      <x:c r="W28" s="82" t="str">
        <x:v>Fica atrás de Kabuto principalmente por teto ofensivo 18.8% menor e velocidade 36.4% menor.</x:v>
      </x:c>
      <x:c r="X28" s="82" t="str">
        <x:v>Fica à frente de Geodude porque possui robustez sustentada 54.1% maior e ofensiva secundária 83.3% maior.</x:v>
      </x:c>
      <x:c r="Y28" s="154" t="str">
        <x:v>https://poke.idleworld.online/pokepedia/pokemon/corsola</x:v>
      </x:c>
    </x:row>
    <x:row r="29" ht="48" customHeight="1">
      <x:c r="A29" s="82" t="n">
        <x:f>IF(U29&lt;&gt;"Rankeado","",COUNTIFS($U$5:$U$38,"Rankeado",$I$5:$I$38,"&gt;"&amp;I29)+COUNTIFS($U$5:U29,"Rankeado",$I$5:I29,I29))</x:f>
        <x:v>25</x:v>
      </x:c>
      <x:c r="B29" s="82" t="n">
        <x:f>COUNTIF($I$5:$I$38,"&gt;"&amp;I29)+COUNTIF($I$5:I29,I29)</x:f>
        <x:v>25</x:v>
      </x:c>
      <x:c r="C29" s="82" t="str">
        <x:f>IF(I29&gt;=80,"S+",IF(I29&gt;=72,"S",IF(I29&gt;=65,"A",IF(I29&gt;=58,"B",IF(I29&gt;=50,"C",IF(I29&gt;=42,"D","E"))))))</x:f>
        <x:v>D</x:v>
      </x:c>
      <x:c r="D29" s="82" t="str">
        <x:f>IF(AND(U29="Rankeado",A29&lt;=6),"Sim","Não")</x:f>
        <x:v>Não</x:v>
      </x:c>
      <x:c r="E29" s="82" t="n">
        <x:v>74</x:v>
      </x:c>
      <x:c r="F29" s="80" t="str">
        <x:v>Geodude</x:v>
      </x:c>
      <x:c r="G29" s="82" t="str">
        <x:v>Pedra / Terra</x:v>
      </x:c>
      <x:c r="H29" s="82" t="str">
        <x:v>Físico</x:v>
      </x:c>
      <x:c r="I29" s="142" t="n">
        <x:f>ROUND(100*(Metodologia!$B$17*(Q29/Metodologia!$B$22)+Metodologia!$B$18*(R29/Metodologia!$B$23)+Metodologia!$B$19*(S29/Metodologia!$B$24)+Metodologia!$B$20*(P29/Metodologia!$B$25)+Metodologia!$B$21*(J29/Metodologia!$B$26)),2)</x:f>
        <x:v>43.06</x:v>
      </x:c>
      <x:c r="J29" s="82" t="n">
        <x:f>SUM(K29:P29)</x:f>
        <x:v>300</x:v>
      </x:c>
      <x:c r="K29" s="82" t="n">
        <x:v>40</x:v>
      </x:c>
      <x:c r="L29" s="82" t="n">
        <x:v>80</x:v>
      </x:c>
      <x:c r="M29" s="82" t="n">
        <x:v>100</x:v>
      </x:c>
      <x:c r="N29" s="82" t="n">
        <x:v>30</x:v>
      </x:c>
      <x:c r="O29" s="82" t="n">
        <x:v>30</x:v>
      </x:c>
      <x:c r="P29" s="82" t="n">
        <x:v>20</x:v>
      </x:c>
      <x:c r="Q29" s="143" t="n">
        <x:f>MAX(L29,N29)*Metodologia!$B$16</x:f>
        <x:v>104</x:v>
      </x:c>
      <x:c r="R29" s="143" t="n">
        <x:f>MIN(L29,N29)*Metodologia!$B$16</x:f>
        <x:v>39</x:v>
      </x:c>
      <x:c r="S29" s="143" t="n">
        <x:f>SQRT(K29*AVERAGE(M29,O29)*Metodologia!$B$16)</x:f>
        <x:v>58.137767414994535</x:v>
      </x:c>
      <x:c r="T29" s="82" t="str">
        <x:v>Sim</x:v>
      </x:c>
      <x:c r="U29" s="82" t="str">
        <x:v>Rankeado</x:v>
      </x:c>
      <x:c r="V29" s="82" t="str">
        <x:v>Perfil físico; melhor atributo ofensivo 80, ofensiva secundária 30, robustez relativa 38% e Speed 20. O índice privilegia dano de hunt, sem ignorar sobrevivência.</x:v>
      </x:c>
      <x:c r="W29" s="82" t="str">
        <x:v>Fica atrás de Corsola principalmente por robustez sustentada 35.1% menor e ofensiva secundária 45.5% menor.</x:v>
      </x:c>
      <x:c r="X29" s="82" t="str">
        <x:v>Fica à frente de Sandshrew porque possui teto ofensivo 6.7% maior e ofensiva secundária 50.0% maior.</x:v>
      </x:c>
      <x:c r="Y29" s="154" t="str">
        <x:v>https://poke.idleworld.online/pokepedia/pokemon/geodude</x:v>
      </x:c>
    </x:row>
    <x:row r="30" ht="48" customHeight="1">
      <x:c r="A30" s="82" t="n">
        <x:f>IF(U30&lt;&gt;"Rankeado","",COUNTIFS($U$5:$U$38,"Rankeado",$I$5:$I$38,"&gt;"&amp;I30)+COUNTIFS($U$5:U30,"Rankeado",$I$5:I30,I30))</x:f>
        <x:v>26</x:v>
      </x:c>
      <x:c r="B30" s="82" t="n">
        <x:f>COUNTIF($I$5:$I$38,"&gt;"&amp;I30)+COUNTIF($I$5:I30,I30)</x:f>
        <x:v>26</x:v>
      </x:c>
      <x:c r="C30" s="82" t="str">
        <x:f>IF(I30&gt;=80,"S+",IF(I30&gt;=72,"S",IF(I30&gt;=65,"A",IF(I30&gt;=58,"B",IF(I30&gt;=50,"C",IF(I30&gt;=42,"D","E"))))))</x:f>
        <x:v>E</x:v>
      </x:c>
      <x:c r="D30" s="82" t="str">
        <x:f>IF(AND(U30="Rankeado",A30&lt;=6),"Sim","Não")</x:f>
        <x:v>Não</x:v>
      </x:c>
      <x:c r="E30" s="82" t="n">
        <x:v>27</x:v>
      </x:c>
      <x:c r="F30" s="80" t="str">
        <x:v>Sandshrew</x:v>
      </x:c>
      <x:c r="G30" s="82" t="str">
        <x:v>Terra</x:v>
      </x:c>
      <x:c r="H30" s="82" t="str">
        <x:v>Físico</x:v>
      </x:c>
      <x:c r="I30" s="142" t="n">
        <x:f>ROUND(100*(Metodologia!$B$17*(Q30/Metodologia!$B$22)+Metodologia!$B$18*(R30/Metodologia!$B$23)+Metodologia!$B$19*(S30/Metodologia!$B$24)+Metodologia!$B$20*(P30/Metodologia!$B$25)+Metodologia!$B$21*(J30/Metodologia!$B$26)),2)</x:f>
        <x:v>41.83</x:v>
      </x:c>
      <x:c r="J30" s="82" t="n">
        <x:f>SUM(K30:P30)</x:f>
        <x:v>300</x:v>
      </x:c>
      <x:c r="K30" s="82" t="n">
        <x:v>50</x:v>
      </x:c>
      <x:c r="L30" s="82" t="n">
        <x:v>75</x:v>
      </x:c>
      <x:c r="M30" s="82" t="n">
        <x:v>85</x:v>
      </x:c>
      <x:c r="N30" s="82" t="n">
        <x:v>20</x:v>
      </x:c>
      <x:c r="O30" s="82" t="n">
        <x:v>30</x:v>
      </x:c>
      <x:c r="P30" s="82" t="n">
        <x:v>40</x:v>
      </x:c>
      <x:c r="Q30" s="143" t="n">
        <x:f>MAX(L30,N30)*Metodologia!$B$16</x:f>
        <x:v>97.5</x:v>
      </x:c>
      <x:c r="R30" s="143" t="n">
        <x:f>MIN(L30,N30)*Metodologia!$B$16</x:f>
        <x:v>26</x:v>
      </x:c>
      <x:c r="S30" s="143" t="n">
        <x:f>SQRT(K30*AVERAGE(M30,O30)*Metodologia!$B$16)</x:f>
        <x:v>61.13509630318742</x:v>
      </x:c>
      <x:c r="T30" s="82" t="str">
        <x:v>Sim</x:v>
      </x:c>
      <x:c r="U30" s="82" t="str">
        <x:v>Rankeado</x:v>
      </x:c>
      <x:c r="V30" s="82" t="str">
        <x:v>Perfil físico; melhor atributo ofensivo 75, ofensiva secundária 20, robustez relativa 39% e Speed 40. O índice privilegia dano de hunt, sem ignorar sobrevivência.</x:v>
      </x:c>
      <x:c r="W30" s="82" t="str">
        <x:v>Fica atrás de Geodude principalmente por teto ofensivo 6.2% menor e ofensiva secundária 33.3% menor.</x:v>
      </x:c>
      <x:c r="X30" s="82" t="str">
        <x:v>Fica à frente de Phanpy porque possui teto ofensivo 25.0% maior.</x:v>
      </x:c>
      <x:c r="Y30" s="154" t="str">
        <x:v>https://poke.idleworld.online/pokepedia/pokemon/sandshrew</x:v>
      </x:c>
    </x:row>
    <x:row r="31" ht="48" customHeight="1">
      <x:c r="A31" s="82" t="n">
        <x:f>IF(U31&lt;&gt;"Rankeado","",COUNTIFS($U$5:$U$38,"Rankeado",$I$5:$I$38,"&gt;"&amp;I31)+COUNTIFS($U$5:U31,"Rankeado",$I$5:I31,I31))</x:f>
        <x:v>27</x:v>
      </x:c>
      <x:c r="B31" s="82" t="n">
        <x:f>COUNTIF($I$5:$I$38,"&gt;"&amp;I31)+COUNTIF($I$5:I31,I31)</x:f>
        <x:v>27</x:v>
      </x:c>
      <x:c r="C31" s="82" t="str">
        <x:f>IF(I31&gt;=80,"S+",IF(I31&gt;=72,"S",IF(I31&gt;=65,"A",IF(I31&gt;=58,"B",IF(I31&gt;=50,"C",IF(I31&gt;=42,"D","E"))))))</x:f>
        <x:v>E</x:v>
      </x:c>
      <x:c r="D31" s="82" t="str">
        <x:f>IF(AND(U31="Rankeado",A31&lt;=6),"Sim","Não")</x:f>
        <x:v>Não</x:v>
      </x:c>
      <x:c r="E31" s="82" t="n">
        <x:v>231</x:v>
      </x:c>
      <x:c r="F31" s="80" t="str">
        <x:v>Phanpy</x:v>
      </x:c>
      <x:c r="G31" s="82" t="str">
        <x:v>Terra</x:v>
      </x:c>
      <x:c r="H31" s="82" t="str">
        <x:v>Físico</x:v>
      </x:c>
      <x:c r="I31" s="142" t="n">
        <x:f>ROUND(100*(Metodologia!$B$17*(Q31/Metodologia!$B$22)+Metodologia!$B$18*(R31/Metodologia!$B$23)+Metodologia!$B$19*(S31/Metodologia!$B$24)+Metodologia!$B$20*(P31/Metodologia!$B$25)+Metodologia!$B$21*(J31/Metodologia!$B$26)),2)</x:f>
        <x:v>39.51</x:v>
      </x:c>
      <x:c r="J31" s="82" t="n">
        <x:f>SUM(K31:P31)</x:f>
        <x:v>330</x:v>
      </x:c>
      <x:c r="K31" s="82" t="n">
        <x:v>90</x:v>
      </x:c>
      <x:c r="L31" s="82" t="n">
        <x:v>60</x:v>
      </x:c>
      <x:c r="M31" s="82" t="n">
        <x:v>60</x:v>
      </x:c>
      <x:c r="N31" s="82" t="n">
        <x:v>40</x:v>
      </x:c>
      <x:c r="O31" s="82" t="n">
        <x:v>40</x:v>
      </x:c>
      <x:c r="P31" s="82" t="n">
        <x:v>40</x:v>
      </x:c>
      <x:c r="Q31" s="143" t="n">
        <x:f>MAX(L31,N31)*Metodologia!$B$16</x:f>
        <x:v>78</x:v>
      </x:c>
      <x:c r="R31" s="143" t="n">
        <x:f>MIN(L31,N31)*Metodologia!$B$16</x:f>
        <x:v>52</x:v>
      </x:c>
      <x:c r="S31" s="143" t="n">
        <x:f>SQRT(K31*AVERAGE(M31,O31)*Metodologia!$B$16)</x:f>
        <x:v>76.48529270389177</x:v>
      </x:c>
      <x:c r="T31" s="82" t="str">
        <x:v>Sim</x:v>
      </x:c>
      <x:c r="U31" s="82" t="str">
        <x:v>Rankeado</x:v>
      </x:c>
      <x:c r="V31" s="82" t="str">
        <x:v>Perfil físico; melhor atributo ofensivo 60, ofensiva secundária 40, robustez relativa 49% e Speed 40. O índice privilegia dano de hunt, sem ignorar sobrevivência.</x:v>
      </x:c>
      <x:c r="W31" s="82" t="str">
        <x:v>Fica atrás de Sandshrew principalmente por teto ofensivo 20.0% menor.</x:v>
      </x:c>
      <x:c r="X31" s="82" t="str">
        <x:v>Fica à frente de Larvitar porque possui robustez sustentada 34.2% maior e total de stats 10.0% maior.</x:v>
      </x:c>
      <x:c r="Y31" s="154" t="str">
        <x:v>https://poke.idleworld.online/pokepedia/pokemon/phanpy</x:v>
      </x:c>
    </x:row>
    <x:row r="32" ht="48" customHeight="1">
      <x:c r="A32" s="82" t="n">
        <x:f>IF(U32&lt;&gt;"Rankeado","",COUNTIFS($U$5:$U$38,"Rankeado",$I$5:$I$38,"&gt;"&amp;I32)+COUNTIFS($U$5:U32,"Rankeado",$I$5:I32,I32))</x:f>
        <x:v>28</x:v>
      </x:c>
      <x:c r="B32" s="82" t="n">
        <x:f>COUNTIF($I$5:$I$38,"&gt;"&amp;I32)+COUNTIF($I$5:I32,I32)</x:f>
        <x:v>28</x:v>
      </x:c>
      <x:c r="C32" s="82" t="str">
        <x:f>IF(I32&gt;=80,"S+",IF(I32&gt;=72,"S",IF(I32&gt;=65,"A",IF(I32&gt;=58,"B",IF(I32&gt;=50,"C",IF(I32&gt;=42,"D","E"))))))</x:f>
        <x:v>E</x:v>
      </x:c>
      <x:c r="D32" s="82" t="str">
        <x:f>IF(AND(U32="Rankeado",A32&lt;=6),"Sim","Não")</x:f>
        <x:v>Não</x:v>
      </x:c>
      <x:c r="E32" s="82" t="n">
        <x:v>246</x:v>
      </x:c>
      <x:c r="F32" s="80" t="str">
        <x:v>Larvitar</x:v>
      </x:c>
      <x:c r="G32" s="82" t="str">
        <x:v>Pedra / Terra</x:v>
      </x:c>
      <x:c r="H32" s="82" t="str">
        <x:v>Físico</x:v>
      </x:c>
      <x:c r="I32" s="142" t="n">
        <x:f>ROUND(100*(Metodologia!$B$17*(Q32/Metodologia!$B$22)+Metodologia!$B$18*(R32/Metodologia!$B$23)+Metodologia!$B$19*(S32/Metodologia!$B$24)+Metodologia!$B$20*(P32/Metodologia!$B$25)+Metodologia!$B$21*(J32/Metodologia!$B$26)),2)</x:f>
        <x:v>39.48</x:v>
      </x:c>
      <x:c r="J32" s="82" t="n">
        <x:f>SUM(K32:P32)</x:f>
        <x:v>300</x:v>
      </x:c>
      <x:c r="K32" s="82" t="n">
        <x:v>50</x:v>
      </x:c>
      <x:c r="L32" s="82" t="n">
        <x:v>64</x:v>
      </x:c>
      <x:c r="M32" s="82" t="n">
        <x:v>50</x:v>
      </x:c>
      <x:c r="N32" s="82" t="n">
        <x:v>45</x:v>
      </x:c>
      <x:c r="O32" s="82" t="n">
        <x:v>50</x:v>
      </x:c>
      <x:c r="P32" s="82" t="n">
        <x:v>41</x:v>
      </x:c>
      <x:c r="Q32" s="143" t="n">
        <x:f>MAX(L32,N32)*Metodologia!$B$16</x:f>
        <x:v>83.2</x:v>
      </x:c>
      <x:c r="R32" s="143" t="n">
        <x:f>MIN(L32,N32)*Metodologia!$B$16</x:f>
        <x:v>58.5</x:v>
      </x:c>
      <x:c r="S32" s="143" t="n">
        <x:f>SQRT(K32*AVERAGE(M32,O32)*Metodologia!$B$16)</x:f>
        <x:v>57.0087712549569</x:v>
      </x:c>
      <x:c r="T32" s="82" t="str">
        <x:v>Sim</x:v>
      </x:c>
      <x:c r="U32" s="82" t="str">
        <x:v>Rankeado</x:v>
      </x:c>
      <x:c r="V32" s="82" t="str">
        <x:v>Perfil físico; melhor atributo ofensivo 64, ofensiva secundária 45, robustez relativa 37% e Speed 41. O índice privilegia dano de hunt, sem ignorar sobrevivência.</x:v>
      </x:c>
      <x:c r="W32" s="82" t="str">
        <x:v>Fica atrás de Phanpy principalmente por robustez sustentada 25.5% menor e total de stats 9.1% menor.</x:v>
      </x:c>
      <x:c r="X32" s="82" t="str">
        <x:v>Fica à frente de Diglett porque possui teto ofensivo 16.4% maior e robustez sustentada 167.3% maior.</x:v>
      </x:c>
      <x:c r="Y32" s="154" t="str">
        <x:v>https://poke.idleworld.online/pokepedia/pokemon/larvitar</x:v>
      </x:c>
    </x:row>
    <x:row r="33" ht="48" customHeight="1">
      <x:c r="A33" s="82" t="n">
        <x:f>IF(U33&lt;&gt;"Rankeado","",COUNTIFS($U$5:$U$38,"Rankeado",$I$5:$I$38,"&gt;"&amp;I33)+COUNTIFS($U$5:U33,"Rankeado",$I$5:I33,I33))</x:f>
        <x:v>29</x:v>
      </x:c>
      <x:c r="B33" s="82" t="n">
        <x:f>COUNTIF($I$5:$I$38,"&gt;"&amp;I33)+COUNTIF($I$5:I33,I33)</x:f>
        <x:v>29</x:v>
      </x:c>
      <x:c r="C33" s="82" t="str">
        <x:f>IF(I33&gt;=80,"S+",IF(I33&gt;=72,"S",IF(I33&gt;=65,"A",IF(I33&gt;=58,"B",IF(I33&gt;=50,"C",IF(I33&gt;=42,"D","E"))))))</x:f>
        <x:v>E</x:v>
      </x:c>
      <x:c r="D33" s="82" t="str">
        <x:f>IF(AND(U33="Rankeado",A33&lt;=6),"Sim","Não")</x:f>
        <x:v>Não</x:v>
      </x:c>
      <x:c r="E33" s="82" t="n">
        <x:v>50</x:v>
      </x:c>
      <x:c r="F33" s="80" t="str">
        <x:v>Diglett</x:v>
      </x:c>
      <x:c r="G33" s="82" t="str">
        <x:v>Terra</x:v>
      </x:c>
      <x:c r="H33" s="82" t="str">
        <x:v>Físico</x:v>
      </x:c>
      <x:c r="I33" s="142" t="n">
        <x:f>ROUND(100*(Metodologia!$B$17*(Q33/Metodologia!$B$22)+Metodologia!$B$18*(R33/Metodologia!$B$23)+Metodologia!$B$19*(S33/Metodologia!$B$24)+Metodologia!$B$20*(P33/Metodologia!$B$25)+Metodologia!$B$21*(J33/Metodologia!$B$26)),2)</x:f>
        <x:v>34.96</x:v>
      </x:c>
      <x:c r="J33" s="82" t="n">
        <x:f>SUM(K33:P33)</x:f>
        <x:v>265</x:v>
      </x:c>
      <x:c r="K33" s="82" t="n">
        <x:v>10</x:v>
      </x:c>
      <x:c r="L33" s="82" t="n">
        <x:v>55</x:v>
      </x:c>
      <x:c r="M33" s="82" t="n">
        <x:v>25</x:v>
      </x:c>
      <x:c r="N33" s="82" t="n">
        <x:v>35</x:v>
      </x:c>
      <x:c r="O33" s="82" t="n">
        <x:v>45</x:v>
      </x:c>
      <x:c r="P33" s="82" t="n">
        <x:v>95</x:v>
      </x:c>
      <x:c r="Q33" s="143" t="n">
        <x:f>MAX(L33,N33)*Metodologia!$B$16</x:f>
        <x:v>71.5</x:v>
      </x:c>
      <x:c r="R33" s="143" t="n">
        <x:f>MIN(L33,N33)*Metodologia!$B$16</x:f>
        <x:v>45.5</x:v>
      </x:c>
      <x:c r="S33" s="143" t="n">
        <x:f>SQRT(K33*AVERAGE(M33,O33)*Metodologia!$B$16)</x:f>
        <x:v>21.330729007701542</x:v>
      </x:c>
      <x:c r="T33" s="82" t="str">
        <x:v>Sim</x:v>
      </x:c>
      <x:c r="U33" s="82" t="str">
        <x:v>Rankeado</x:v>
      </x:c>
      <x:c r="V33" s="82" t="str">
        <x:v>Perfil físico; melhor atributo ofensivo 55, ofensiva secundária 35, robustez relativa 14% e Speed 95. O índice privilegia dano de hunt, sem ignorar sobrevivência.</x:v>
      </x:c>
      <x:c r="W33" s="82" t="str">
        <x:v>Fica atrás de Larvitar principalmente por teto ofensivo 14.1% menor e robustez sustentada 62.6% menor.</x:v>
      </x:c>
      <x:c r="X33" s="82" t="str">
        <x:v>Fica à frente de Cubone porque possui velocidade 171.4% maior e teto ofensivo 10.0% maior.</x:v>
      </x:c>
      <x:c r="Y33" s="154" t="str">
        <x:v>https://poke.idleworld.online/pokepedia/pokemon/diglett</x:v>
      </x:c>
    </x:row>
    <x:row r="34" ht="48" customHeight="1">
      <x:c r="A34" s="82" t="n">
        <x:f>IF(U34&lt;&gt;"Rankeado","",COUNTIFS($U$5:$U$38,"Rankeado",$I$5:$I$38,"&gt;"&amp;I34)+COUNTIFS($U$5:U34,"Rankeado",$I$5:I34,I34))</x:f>
        <x:v>30</x:v>
      </x:c>
      <x:c r="B34" s="82" t="n">
        <x:f>COUNTIF($I$5:$I$38,"&gt;"&amp;I34)+COUNTIF($I$5:I34,I34)</x:f>
        <x:v>30</x:v>
      </x:c>
      <x:c r="C34" s="82" t="str">
        <x:f>IF(I34&gt;=80,"S+",IF(I34&gt;=72,"S",IF(I34&gt;=65,"A",IF(I34&gt;=58,"B",IF(I34&gt;=50,"C",IF(I34&gt;=42,"D","E"))))))</x:f>
        <x:v>E</x:v>
      </x:c>
      <x:c r="D34" s="82" t="str">
        <x:f>IF(AND(U34="Rankeado",A34&lt;=6),"Sim","Não")</x:f>
        <x:v>Não</x:v>
      </x:c>
      <x:c r="E34" s="82" t="n">
        <x:v>104</x:v>
      </x:c>
      <x:c r="F34" s="80" t="str">
        <x:v>Cubone</x:v>
      </x:c>
      <x:c r="G34" s="82" t="str">
        <x:v>Terra</x:v>
      </x:c>
      <x:c r="H34" s="82" t="str">
        <x:v>Misto</x:v>
      </x:c>
      <x:c r="I34" s="142" t="n">
        <x:f>ROUND(100*(Metodologia!$B$17*(Q34/Metodologia!$B$22)+Metodologia!$B$18*(R34/Metodologia!$B$23)+Metodologia!$B$19*(S34/Metodologia!$B$24)+Metodologia!$B$20*(P34/Metodologia!$B$25)+Metodologia!$B$21*(J34/Metodologia!$B$26)),2)</x:f>
        <x:v>34.45</x:v>
      </x:c>
      <x:c r="J34" s="82" t="n">
        <x:f>SUM(K34:P34)</x:f>
        <x:v>320</x:v>
      </x:c>
      <x:c r="K34" s="82" t="n">
        <x:v>50</x:v>
      </x:c>
      <x:c r="L34" s="82" t="n">
        <x:v>50</x:v>
      </x:c>
      <x:c r="M34" s="82" t="n">
        <x:v>95</x:v>
      </x:c>
      <x:c r="N34" s="82" t="n">
        <x:v>40</x:v>
      </x:c>
      <x:c r="O34" s="82" t="n">
        <x:v>50</x:v>
      </x:c>
      <x:c r="P34" s="82" t="n">
        <x:v>35</x:v>
      </x:c>
      <x:c r="Q34" s="143" t="n">
        <x:f>MAX(L34,N34)*Metodologia!$B$16</x:f>
        <x:v>65</x:v>
      </x:c>
      <x:c r="R34" s="143" t="n">
        <x:f>MIN(L34,N34)*Metodologia!$B$16</x:f>
        <x:v>52</x:v>
      </x:c>
      <x:c r="S34" s="143" t="n">
        <x:f>SQRT(K34*AVERAGE(M34,O34)*Metodologia!$B$16)</x:f>
        <x:v>68.6476510887299</x:v>
      </x:c>
      <x:c r="T34" s="82" t="str">
        <x:v>Sim</x:v>
      </x:c>
      <x:c r="U34" s="82" t="str">
        <x:v>Rankeado</x:v>
      </x:c>
      <x:c r="V34" s="82" t="str">
        <x:v>Perfil misto; melhor atributo ofensivo 50, ofensiva secundária 40, robustez relativa 44% e Speed 35. O índice privilegia dano de hunt, sem ignorar sobrevivência.</x:v>
      </x:c>
      <x:c r="W34" s="82" t="str">
        <x:v>Fica atrás de Diglett principalmente por velocidade 63.2% menor e teto ofensivo 9.1% menor.</x:v>
      </x:c>
      <x:c r="X34" s="82" t="str">
        <x:v>Fica à frente de Onix porque possui teto ofensivo 11.1% maior e ofensiva secundária 33.3% maior.</x:v>
      </x:c>
      <x:c r="Y34" s="154" t="str">
        <x:v>https://poke.idleworld.online/pokepedia/pokemon/cubone</x:v>
      </x:c>
    </x:row>
    <x:row r="35" ht="48" customHeight="1">
      <x:c r="A35" s="82" t="n">
        <x:f>IF(U35&lt;&gt;"Rankeado","",COUNTIFS($U$5:$U$38,"Rankeado",$I$5:$I$38,"&gt;"&amp;I35)+COUNTIFS($U$5:U35,"Rankeado",$I$5:I35,I35))</x:f>
        <x:v>31</x:v>
      </x:c>
      <x:c r="B35" s="82" t="n">
        <x:f>COUNTIF($I$5:$I$38,"&gt;"&amp;I35)+COUNTIF($I$5:I35,I35)</x:f>
        <x:v>31</x:v>
      </x:c>
      <x:c r="C35" s="82" t="str">
        <x:f>IF(I35&gt;=80,"S+",IF(I35&gt;=72,"S",IF(I35&gt;=65,"A",IF(I35&gt;=58,"B",IF(I35&gt;=50,"C",IF(I35&gt;=42,"D","E"))))))</x:f>
        <x:v>E</x:v>
      </x:c>
      <x:c r="D35" s="82" t="str">
        <x:f>IF(AND(U35="Rankeado",A35&lt;=6),"Sim","Não")</x:f>
        <x:v>Não</x:v>
      </x:c>
      <x:c r="E35" s="82" t="n">
        <x:v>95</x:v>
      </x:c>
      <x:c r="F35" s="80" t="str">
        <x:v>Onix</x:v>
      </x:c>
      <x:c r="G35" s="82" t="str">
        <x:v>Pedra / Terra</x:v>
      </x:c>
      <x:c r="H35" s="82" t="str">
        <x:v>Físico</x:v>
      </x:c>
      <x:c r="I35" s="142" t="n">
        <x:f>ROUND(100*(Metodologia!$B$17*(Q35/Metodologia!$B$22)+Metodologia!$B$18*(R35/Metodologia!$B$23)+Metodologia!$B$19*(S35/Metodologia!$B$24)+Metodologia!$B$20*(P35/Metodologia!$B$25)+Metodologia!$B$21*(J35/Metodologia!$B$26)),2)</x:f>
        <x:v>34.36</x:v>
      </x:c>
      <x:c r="J35" s="82" t="n">
        <x:f>SUM(K35:P35)</x:f>
        <x:v>385</x:v>
      </x:c>
      <x:c r="K35" s="82" t="n">
        <x:v>35</x:v>
      </x:c>
      <x:c r="L35" s="82" t="n">
        <x:v>45</x:v>
      </x:c>
      <x:c r="M35" s="82" t="n">
        <x:v>160</x:v>
      </x:c>
      <x:c r="N35" s="82" t="n">
        <x:v>30</x:v>
      </x:c>
      <x:c r="O35" s="82" t="n">
        <x:v>45</x:v>
      </x:c>
      <x:c r="P35" s="82" t="n">
        <x:v>70</x:v>
      </x:c>
      <x:c r="Q35" s="143" t="n">
        <x:f>MAX(L35,N35)*Metodologia!$B$16</x:f>
        <x:v>58.5</x:v>
      </x:c>
      <x:c r="R35" s="143" t="n">
        <x:f>MIN(L35,N35)*Metodologia!$B$16</x:f>
        <x:v>39</x:v>
      </x:c>
      <x:c r="S35" s="143" t="n">
        <x:f>SQRT(K35*AVERAGE(M35,O35)*Metodologia!$B$16)</x:f>
        <x:v>68.29165395566284</x:v>
      </x:c>
      <x:c r="T35" s="82" t="str">
        <x:v>Sim</x:v>
      </x:c>
      <x:c r="U35" s="82" t="str">
        <x:v>Rankeado</x:v>
      </x:c>
      <x:c r="V35" s="82" t="str">
        <x:v>Perfil físico; melhor atributo ofensivo 45, ofensiva secundária 30, robustez relativa 44% e Speed 70. O índice privilegia dano de hunt, sem ignorar sobrevivência.</x:v>
      </x:c>
      <x:c r="W35" s="82" t="str">
        <x:v>Fica atrás de Cubone principalmente por teto ofensivo 10.0% menor e ofensiva secundária 25.0% menor.</x:v>
      </x:c>
      <x:c r="X35" s="82" t="str">
        <x:v>Fica à frente de Swinub porque possui robustez sustentada 43.2% maior e velocidade 40.0% maior.</x:v>
      </x:c>
      <x:c r="Y35" s="154" t="str">
        <x:v>https://poke.idleworld.online/pokepedia/pokemon/onix</x:v>
      </x:c>
    </x:row>
    <x:row r="36" ht="48" customHeight="1">
      <x:c r="A36" s="82" t="n">
        <x:f>IF(U36&lt;&gt;"Rankeado","",COUNTIFS($U$5:$U$38,"Rankeado",$I$5:$I$38,"&gt;"&amp;I36)+COUNTIFS($U$5:U36,"Rankeado",$I$5:I36,I36))</x:f>
        <x:v>32</x:v>
      </x:c>
      <x:c r="B36" s="82" t="n">
        <x:f>COUNTIF($I$5:$I$38,"&gt;"&amp;I36)+COUNTIF($I$5:I36,I36)</x:f>
        <x:v>32</x:v>
      </x:c>
      <x:c r="C36" s="82" t="str">
        <x:f>IF(I36&gt;=80,"S+",IF(I36&gt;=72,"S",IF(I36&gt;=65,"A",IF(I36&gt;=58,"B",IF(I36&gt;=50,"C",IF(I36&gt;=42,"D","E"))))))</x:f>
        <x:v>E</x:v>
      </x:c>
      <x:c r="D36" s="82" t="str">
        <x:f>IF(AND(U36="Rankeado",A36&lt;=6),"Sim","Não")</x:f>
        <x:v>Não</x:v>
      </x:c>
      <x:c r="E36" s="82" t="n">
        <x:v>220</x:v>
      </x:c>
      <x:c r="F36" s="80" t="str">
        <x:v>Swinub</x:v>
      </x:c>
      <x:c r="G36" s="82" t="str">
        <x:v>Gelo / Terra</x:v>
      </x:c>
      <x:c r="H36" s="82" t="str">
        <x:v>Físico</x:v>
      </x:c>
      <x:c r="I36" s="142" t="n">
        <x:f>ROUND(100*(Metodologia!$B$17*(Q36/Metodologia!$B$22)+Metodologia!$B$18*(R36/Metodologia!$B$23)+Metodologia!$B$19*(S36/Metodologia!$B$24)+Metodologia!$B$20*(P36/Metodologia!$B$25)+Metodologia!$B$21*(J36/Metodologia!$B$26)),2)</x:f>
        <x:v>31.99</x:v>
      </x:c>
      <x:c r="J36" s="82" t="n">
        <x:f>SUM(K36:P36)</x:f>
        <x:v>250</x:v>
      </x:c>
      <x:c r="K36" s="82" t="n">
        <x:v>50</x:v>
      </x:c>
      <x:c r="L36" s="82" t="n">
        <x:v>50</x:v>
      </x:c>
      <x:c r="M36" s="82" t="n">
        <x:v>40</x:v>
      </x:c>
      <x:c r="N36" s="82" t="n">
        <x:v>30</x:v>
      </x:c>
      <x:c r="O36" s="82" t="n">
        <x:v>30</x:v>
      </x:c>
      <x:c r="P36" s="82" t="n">
        <x:v>50</x:v>
      </x:c>
      <x:c r="Q36" s="143" t="n">
        <x:f>MAX(L36,N36)*Metodologia!$B$16</x:f>
        <x:v>65</x:v>
      </x:c>
      <x:c r="R36" s="143" t="n">
        <x:f>MIN(L36,N36)*Metodologia!$B$16</x:f>
        <x:v>39</x:v>
      </x:c>
      <x:c r="S36" s="143" t="n">
        <x:f>SQRT(K36*AVERAGE(M36,O36)*Metodologia!$B$16)</x:f>
        <x:v>47.69696007084728</x:v>
      </x:c>
      <x:c r="T36" s="82" t="str">
        <x:v>Sim</x:v>
      </x:c>
      <x:c r="U36" s="82" t="str">
        <x:v>Rankeado</x:v>
      </x:c>
      <x:c r="V36" s="82" t="str">
        <x:v>Perfil físico; melhor atributo ofensivo 50, ofensiva secundária 30, robustez relativa 31% e Speed 50. O índice privilegia dano de hunt, sem ignorar sobrevivência.</x:v>
      </x:c>
      <x:c r="W36" s="82" t="str">
        <x:v>Fica atrás de Onix principalmente por robustez sustentada 30.2% menor e velocidade 28.6% menor.</x:v>
      </x:c>
      <x:c r="X36" s="82" t="str">
        <x:v>Fica à frente de Wooper porque possui velocidade 233.3% maior e teto ofensivo 11.1% maior.</x:v>
      </x:c>
      <x:c r="Y36" s="154" t="str">
        <x:v>https://poke.idleworld.online/pokepedia/pokemon/swinub</x:v>
      </x:c>
    </x:row>
    <x:row r="37" ht="48" customHeight="1">
      <x:c r="A37" s="82" t="n">
        <x:f>IF(U37&lt;&gt;"Rankeado","",COUNTIFS($U$5:$U$38,"Rankeado",$I$5:$I$38,"&gt;"&amp;I37)+COUNTIFS($U$5:U37,"Rankeado",$I$5:I37,I37))</x:f>
        <x:v>33</x:v>
      </x:c>
      <x:c r="B37" s="82" t="n">
        <x:f>COUNTIF($I$5:$I$38,"&gt;"&amp;I37)+COUNTIF($I$5:I37,I37)</x:f>
        <x:v>33</x:v>
      </x:c>
      <x:c r="C37" s="82" t="str">
        <x:f>IF(I37&gt;=80,"S+",IF(I37&gt;=72,"S",IF(I37&gt;=65,"A",IF(I37&gt;=58,"B",IF(I37&gt;=50,"C",IF(I37&gt;=42,"D","E"))))))</x:f>
        <x:v>E</x:v>
      </x:c>
      <x:c r="D37" s="82" t="str">
        <x:f>IF(AND(U37="Rankeado",A37&lt;=6),"Sim","Não")</x:f>
        <x:v>Não</x:v>
      </x:c>
      <x:c r="E37" s="82" t="n">
        <x:v>194</x:v>
      </x:c>
      <x:c r="F37" s="80" t="str">
        <x:v>Wooper</x:v>
      </x:c>
      <x:c r="G37" s="82" t="str">
        <x:v>Água / Terra</x:v>
      </x:c>
      <x:c r="H37" s="82" t="str">
        <x:v>Físico</x:v>
      </x:c>
      <x:c r="I37" s="142" t="n">
        <x:f>ROUND(100*(Metodologia!$B$17*(Q37/Metodologia!$B$22)+Metodologia!$B$18*(R37/Metodologia!$B$23)+Metodologia!$B$19*(S37/Metodologia!$B$24)+Metodologia!$B$20*(P37/Metodologia!$B$25)+Metodologia!$B$21*(J37/Metodologia!$B$26)),2)</x:f>
        <x:v>27.19</x:v>
      </x:c>
      <x:c r="J37" s="82" t="n">
        <x:f>SUM(K37:P37)</x:f>
        <x:v>210</x:v>
      </x:c>
      <x:c r="K37" s="82" t="n">
        <x:v>55</x:v>
      </x:c>
      <x:c r="L37" s="82" t="n">
        <x:v>45</x:v>
      </x:c>
      <x:c r="M37" s="82" t="n">
        <x:v>45</x:v>
      </x:c>
      <x:c r="N37" s="82" t="n">
        <x:v>25</x:v>
      </x:c>
      <x:c r="O37" s="82" t="n">
        <x:v>25</x:v>
      </x:c>
      <x:c r="P37" s="82" t="n">
        <x:v>15</x:v>
      </x:c>
      <x:c r="Q37" s="143" t="n">
        <x:f>MAX(L37,N37)*Metodologia!$B$16</x:f>
        <x:v>58.5</x:v>
      </x:c>
      <x:c r="R37" s="143" t="n">
        <x:f>MIN(L37,N37)*Metodologia!$B$16</x:f>
        <x:v>32.5</x:v>
      </x:c>
      <x:c r="S37" s="143" t="n">
        <x:f>SQRT(K37*AVERAGE(M37,O37)*Metodologia!$B$16)</x:f>
        <x:v>50.02499375312305</x:v>
      </x:c>
      <x:c r="T37" s="82" t="str">
        <x:v>Não</x:v>
      </x:c>
      <x:c r="U37" s="82" t="str">
        <x:v>Rankeado</x:v>
      </x:c>
      <x:c r="V37" s="82" t="str">
        <x:v>Perfil físico; melhor atributo ofensivo 45, ofensiva secundária 25, robustez relativa 32% e Speed 15. O índice privilegia dano de hunt, sem ignorar sobrevivência.</x:v>
      </x:c>
      <x:c r="W37" s="82" t="str">
        <x:v>Fica atrás de Swinub principalmente por velocidade 70.0% menor e teto ofensivo 10.0% menor.</x:v>
      </x:c>
      <x:c r="X37" s="82" t="str">
        <x:v>Fica à frente de Shuckle porque possui teto ofensivo 350.0% maior e ofensiva secundária 150.0% maior.</x:v>
      </x:c>
      <x:c r="Y37" s="154" t="str">
        <x:v>https://poke.idleworld.online/pokepedia/pokemon/wooper</x:v>
      </x:c>
    </x:row>
    <x:row r="38" ht="48" customHeight="1">
      <x:c r="A38" s="86" t="n">
        <x:f>IF(U38&lt;&gt;"Rankeado","",COUNTIFS($U$5:$U$38,"Rankeado",$I$5:$I$38,"&gt;"&amp;I38)+COUNTIFS($U$5:U38,"Rankeado",$I$5:I38,I38))</x:f>
        <x:v>34</x:v>
      </x:c>
      <x:c r="B38" s="86" t="n">
        <x:f>COUNTIF($I$5:$I$38,"&gt;"&amp;I38)+COUNTIF($I$5:I38,I38)</x:f>
        <x:v>34</x:v>
      </x:c>
      <x:c r="C38" s="86" t="str">
        <x:f>IF(I38&gt;=80,"S+",IF(I38&gt;=72,"S",IF(I38&gt;=65,"A",IF(I38&gt;=58,"B",IF(I38&gt;=50,"C",IF(I38&gt;=42,"D","E"))))))</x:f>
        <x:v>E</x:v>
      </x:c>
      <x:c r="D38" s="86" t="str">
        <x:f>IF(AND(U38="Rankeado",A38&lt;=6),"Sim","Não")</x:f>
        <x:v>Não</x:v>
      </x:c>
      <x:c r="E38" s="86" t="n">
        <x:v>213</x:v>
      </x:c>
      <x:c r="F38" s="84" t="str">
        <x:v>Shuckle</x:v>
      </x:c>
      <x:c r="G38" s="86" t="str">
        <x:v>Inseto / Pedra</x:v>
      </x:c>
      <x:c r="H38" s="86" t="str">
        <x:v>Misto</x:v>
      </x:c>
      <x:c r="I38" s="145" t="n">
        <x:f>ROUND(100*(Metodologia!$B$17*(Q38/Metodologia!$B$22)+Metodologia!$B$18*(R38/Metodologia!$B$23)+Metodologia!$B$19*(S38/Metodologia!$B$24)+Metodologia!$B$20*(P38/Metodologia!$B$25)+Metodologia!$B$21*(J38/Metodologia!$B$26)),2)</x:f>
        <x:v>16.33</x:v>
      </x:c>
      <x:c r="J38" s="86" t="n">
        <x:f>SUM(K38:P38)</x:f>
        <x:v>505</x:v>
      </x:c>
      <x:c r="K38" s="86" t="n">
        <x:v>20</x:v>
      </x:c>
      <x:c r="L38" s="86" t="n">
        <x:v>10</x:v>
      </x:c>
      <x:c r="M38" s="86" t="n">
        <x:v>230</x:v>
      </x:c>
      <x:c r="N38" s="86" t="n">
        <x:v>10</x:v>
      </x:c>
      <x:c r="O38" s="86" t="n">
        <x:v>230</x:v>
      </x:c>
      <x:c r="P38" s="86" t="n">
        <x:v>5</x:v>
      </x:c>
      <x:c r="Q38" s="146" t="n">
        <x:f>MAX(L38,N38)*Metodologia!$B$16</x:f>
        <x:v>13</x:v>
      </x:c>
      <x:c r="R38" s="146" t="n">
        <x:f>MIN(L38,N38)*Metodologia!$B$16</x:f>
        <x:v>13</x:v>
      </x:c>
      <x:c r="S38" s="146" t="n">
        <x:f>SQRT(K38*AVERAGE(M38,O38)*Metodologia!$B$16)</x:f>
        <x:v>77.33045971672482</x:v>
      </x:c>
      <x:c r="T38" s="86" t="str">
        <x:v>Não</x:v>
      </x:c>
      <x:c r="U38" s="86" t="str">
        <x:v>Rankeado</x:v>
      </x:c>
      <x:c r="V38" s="86" t="str">
        <x:v>Perfil misto; melhor atributo ofensivo 10, ofensiva secundária 10, robustez relativa 50% e Speed 5. O índice privilegia dano de hunt, sem ignorar sobrevivência.</x:v>
      </x:c>
      <x:c r="W38" s="86" t="str">
        <x:v>Fica atrás de Wooper principalmente por teto ofensivo 77.8% menor e ofensiva secundária 60.0% menor.</x:v>
      </x:c>
      <x:c r="X38" s="86" t="str">
        <x:v>É o último utilizável deste clã.</x:v>
      </x:c>
      <x:c r="Y38" s="155" t="str">
        <x:v>https://poke.idleworld.online/pokepedia/pokemon/shuckle</x:v>
      </x:c>
    </x:row>
  </x:sheetData>
  <x:mergeCells>
    <x:mergeCell ref="A1:Y1"/>
    <x:mergeCell ref="A2:Y2"/>
  </x:mergeCells>
  <x:conditionalFormatting sqref="I5:I38">
    <x:cfRule type="colorScale" priority="1">
      <x:colorScale>
        <x:cfvo type="min"/>
        <x:cfvo type="percentile" val="50"/>
        <x:cfvo type="max"/>
        <x:color rgb="FF6B1F1A"/>
        <x:color rgb="FFD98350"/>
        <x:color rgb="FF5F9D62"/>
      </x:colorScale>
    </x:cfRule>
  </x:conditionalFormatting>
  <x:conditionalFormatting sqref="A5:Y38">
    <x:cfRule type="expression" dxfId="4" priority="2">
      <x:formula>AND($D5="Sim",$U5="Rankeado")</x:formula>
    </x:cfRule>
    <x:cfRule type="expression" dxfId="5" priority="3">
      <x:formula>$U5="Excluído — lendário/mítico"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6c0a0688e8c45a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8" hidden="0" customWidth="1"/>
    <x:col min="4" max="4" width="10" hidden="0" customWidth="1"/>
    <x:col min="5" max="5" width="7" hidden="0" customWidth="1"/>
    <x:col min="6" max="6" width="20" hidden="0" customWidth="1"/>
    <x:col min="7" max="7" width="22" hidden="0" customWidth="1"/>
    <x:col min="8" max="8" width="12" hidden="0" customWidth="1"/>
    <x:col min="9" max="9" width="11" hidden="0" customWidth="1"/>
    <x:col min="10" max="10" width="9" hidden="0" customWidth="1"/>
    <x:col min="11" max="11" width="8" hidden="0" customWidth="1"/>
    <x:col min="12" max="12" width="8" hidden="0" customWidth="1"/>
    <x:col min="13" max="13" width="8" hidden="0" customWidth="1"/>
    <x:col min="14" max="14" width="10" hidden="0" customWidth="1"/>
    <x:col min="15" max="15" width="10" hidden="0" customWidth="1"/>
    <x:col min="16" max="16" width="9" hidden="0" customWidth="1"/>
    <x:col min="17" max="17" width="18" hidden="0" customWidth="1"/>
    <x:col min="18" max="18" width="21" hidden="0" customWidth="1"/>
    <x:col min="19" max="19" width="16" hidden="0" customWidth="1"/>
    <x:col min="20" max="20" width="13" hidden="0" customWidth="1"/>
    <x:col min="21" max="21" width="23" hidden="0" customWidth="1"/>
    <x:col min="22" max="22" width="48" hidden="0" customWidth="1"/>
    <x:col min="23" max="23" width="52" hidden="0" customWidth="1"/>
    <x:col min="24" max="24" width="52" hidden="0" customWidth="1"/>
    <x:col min="25" max="25" width="56" hidden="0" customWidth="1"/>
  </x:cols>
  <x:sheetData>
    <x:row r="1" ht="34" customHeight="1">
      <x:c r="A1" s="5" t="str">
        <x:v>Naturia · ranking completo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 ht="24" customHeight="1">
      <x:c r="A2" s="12" t="str">
        <x:v>Planta / Inseto · 43 utilizáveis · time recomendado: Exeggutor · Scizor · Pinsir · Heracross · Scyther · Victreebel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</x:row>
    <x:row r="4">
      <x:c r="A4" s="115" t="str">
        <x:v>Posição</x:v>
      </x:c>
      <x:c r="B4" s="115" t="str">
        <x:v>Rank teórico</x:v>
      </x:c>
      <x:c r="C4" s="115" t="str">
        <x:v>Tier</x:v>
      </x:c>
      <x:c r="D4" s="115" t="str">
        <x:v>Time 6</x:v>
      </x:c>
      <x:c r="E4" s="115" t="str">
        <x:v>#</x:v>
      </x:c>
      <x:c r="F4" s="115" t="str">
        <x:v>Pokémon</x:v>
      </x:c>
      <x:c r="G4" s="115" t="str">
        <x:v>Tipos</x:v>
      </x:c>
      <x:c r="H4" s="115" t="str">
        <x:v>Perfil</x:v>
      </x:c>
      <x:c r="I4" s="115" t="str">
        <x:v>Score</x:v>
      </x:c>
      <x:c r="J4" s="115" t="str">
        <x:v>BST</x:v>
      </x:c>
      <x:c r="K4" s="115" t="str">
        <x:v>HP</x:v>
      </x:c>
      <x:c r="L4" s="115" t="str">
        <x:v>ATK</x:v>
      </x:c>
      <x:c r="M4" s="115" t="str">
        <x:v>DEF</x:v>
      </x:c>
      <x:c r="N4" s="115" t="str">
        <x:v>Sp. ATK</x:v>
      </x:c>
      <x:c r="O4" s="115" t="str">
        <x:v>Sp. DEF</x:v>
      </x:c>
      <x:c r="P4" s="115" t="str">
        <x:v>Speed</x:v>
      </x:c>
      <x:c r="Q4" s="115" t="str">
        <x:v>Teto ofensivo R5</x:v>
      </x:c>
      <x:c r="R4" s="115" t="str">
        <x:v>Ofensiva secundária R5</x:v>
      </x:c>
      <x:c r="S4" s="115" t="str">
        <x:v>Robustez R5</x:v>
      </x:c>
      <x:c r="T4" s="115" t="str">
        <x:v>Hunt Kanto</x:v>
      </x:c>
      <x:c r="U4" s="115" t="str">
        <x:v>Status</x:v>
      </x:c>
      <x:c r="V4" s="115" t="str">
        <x:v>Leitura técnica</x:v>
      </x:c>
      <x:c r="W4" s="115" t="str">
        <x:v>Por que abaixo do anterior</x:v>
      </x:c>
      <x:c r="X4" s="115" t="str">
        <x:v>Por que acima do seguinte</x:v>
      </x:c>
      <x:c r="Y4" s="115" t="str">
        <x:v>Fonte</x:v>
      </x:c>
    </x:row>
    <x:row r="5" ht="48" customHeight="1">
      <x:c r="A5" s="82" t="n">
        <x:f>IF(U5&lt;&gt;"Rankeado","",COUNTIFS($U$5:$U$48,"Rankeado",$I$5:$I$48,"&gt;"&amp;I5)+COUNTIFS($U$5:U5,"Rankeado",$I$5:I5,I5))</x:f>
        <x:v>1</x:v>
      </x:c>
      <x:c r="B5" s="82" t="n">
        <x:f>COUNTIF($I$5:$I$48,"&gt;"&amp;I5)+COUNTIF($I$5:I5,I5)</x:f>
        <x:v>1</x:v>
      </x:c>
      <x:c r="C5" s="82" t="str">
        <x:f>IF(I5&gt;=80,"S+",IF(I5&gt;=72,"S",IF(I5&gt;=65,"A",IF(I5&gt;=58,"B",IF(I5&gt;=50,"C",IF(I5&gt;=42,"D","E"))))))</x:f>
        <x:v>S</x:v>
      </x:c>
      <x:c r="D5" s="82" t="str">
        <x:f>IF(AND(U5="Rankeado",A5&lt;=6),"Sim","Não")</x:f>
        <x:v>Sim</x:v>
      </x:c>
      <x:c r="E5" s="82" t="n">
        <x:v>103</x:v>
      </x:c>
      <x:c r="F5" s="80" t="str">
        <x:v>Exeggutor</x:v>
      </x:c>
      <x:c r="G5" s="82" t="str">
        <x:v>Planta / Psíquico</x:v>
      </x:c>
      <x:c r="H5" s="82" t="str">
        <x:v>Especial</x:v>
      </x:c>
      <x:c r="I5" s="142" t="n">
        <x:f>ROUND(100*(Metodologia!$B$17*(Q5/Metodologia!$B$22)+Metodologia!$B$18*(R5/Metodologia!$B$23)+Metodologia!$B$19*(S5/Metodologia!$B$24)+Metodologia!$B$20*(P5/Metodologia!$B$25)+Metodologia!$B$21*(J5/Metodologia!$B$26)),2)</x:f>
        <x:v>74.52</x:v>
      </x:c>
      <x:c r="J5" s="82" t="n">
        <x:f>SUM(K5:P5)</x:f>
        <x:v>530</x:v>
      </x:c>
      <x:c r="K5" s="82" t="n">
        <x:v>95</x:v>
      </x:c>
      <x:c r="L5" s="82" t="n">
        <x:v>95</x:v>
      </x:c>
      <x:c r="M5" s="82" t="n">
        <x:v>85</x:v>
      </x:c>
      <x:c r="N5" s="82" t="n">
        <x:v>125</x:v>
      </x:c>
      <x:c r="O5" s="82" t="n">
        <x:v>75</x:v>
      </x:c>
      <x:c r="P5" s="82" t="n">
        <x:v>55</x:v>
      </x:c>
      <x:c r="Q5" s="143" t="n">
        <x:f>MAX(L5,N5)*Metodologia!$B$16</x:f>
        <x:v>162.5</x:v>
      </x:c>
      <x:c r="R5" s="143" t="n">
        <x:f>MIN(L5,N5)*Metodologia!$B$16</x:f>
        <x:v>123.5</x:v>
      </x:c>
      <x:c r="S5" s="143" t="n">
        <x:f>SQRT(K5*AVERAGE(M5,O5)*Metodologia!$B$16)</x:f>
        <x:v>99.39818911831343</x:v>
      </x:c>
      <x:c r="T5" s="82" t="str">
        <x:v>Sim</x:v>
      </x:c>
      <x:c r="U5" s="82" t="str">
        <x:v>Rankeado</x:v>
      </x:c>
      <x:c r="V5" s="82" t="str">
        <x:v>Perfil especial; melhor atributo ofensivo 125, ofensiva secundária 95, robustez relativa 64% e Speed 55. O índice privilegia dano de hunt, sem ignorar sobrevivência.</x:v>
      </x:c>
      <x:c r="W5" s="82" t="str">
        <x:v>É o líder do clã no modelo.</x:v>
      </x:c>
      <x:c r="X5" s="82" t="str">
        <x:v>Fica à frente de Scizor porque possui ofensiva secundária 72.7% maior e robustez sustentada 9.8% maior.</x:v>
      </x:c>
      <x:c r="Y5" s="154" t="str">
        <x:v>https://poke.idleworld.online/pokepedia/pokemon/exeggutor</x:v>
      </x:c>
    </x:row>
    <x:row r="6" ht="48" customHeight="1">
      <x:c r="A6" s="82" t="n">
        <x:f>IF(U6&lt;&gt;"Rankeado","",COUNTIFS($U$5:$U$48,"Rankeado",$I$5:$I$48,"&gt;"&amp;I6)+COUNTIFS($U$5:U6,"Rankeado",$I$5:I6,I6))</x:f>
        <x:v>2</x:v>
      </x:c>
      <x:c r="B6" s="82" t="n">
        <x:f>COUNTIF($I$5:$I$48,"&gt;"&amp;I6)+COUNTIF($I$5:I6,I6)</x:f>
        <x:v>2</x:v>
      </x:c>
      <x:c r="C6" s="82" t="str">
        <x:f>IF(I6&gt;=80,"S+",IF(I6&gt;=72,"S",IF(I6&gt;=65,"A",IF(I6&gt;=58,"B",IF(I6&gt;=50,"C",IF(I6&gt;=42,"D","E"))))))</x:f>
        <x:v>S</x:v>
      </x:c>
      <x:c r="D6" s="82" t="str">
        <x:f>IF(AND(U6="Rankeado",A6&lt;=6),"Sim","Não")</x:f>
        <x:v>Sim</x:v>
      </x:c>
      <x:c r="E6" s="82" t="n">
        <x:v>212</x:v>
      </x:c>
      <x:c r="F6" s="80" t="str">
        <x:v>Scizor</x:v>
      </x:c>
      <x:c r="G6" s="82" t="str">
        <x:v>Inseto / Aço</x:v>
      </x:c>
      <x:c r="H6" s="82" t="str">
        <x:v>Físico</x:v>
      </x:c>
      <x:c r="I6" s="142" t="n">
        <x:f>ROUND(100*(Metodologia!$B$17*(Q6/Metodologia!$B$22)+Metodologia!$B$18*(R6/Metodologia!$B$23)+Metodologia!$B$19*(S6/Metodologia!$B$24)+Metodologia!$B$20*(P6/Metodologia!$B$25)+Metodologia!$B$21*(J6/Metodologia!$B$26)),2)</x:f>
        <x:v>72.42</x:v>
      </x:c>
      <x:c r="J6" s="82" t="n">
        <x:f>SUM(K6:P6)</x:f>
        <x:v>500</x:v>
      </x:c>
      <x:c r="K6" s="82" t="n">
        <x:v>70</x:v>
      </x:c>
      <x:c r="L6" s="82" t="n">
        <x:v>130</x:v>
      </x:c>
      <x:c r="M6" s="82" t="n">
        <x:v>100</x:v>
      </x:c>
      <x:c r="N6" s="82" t="n">
        <x:v>55</x:v>
      </x:c>
      <x:c r="O6" s="82" t="n">
        <x:v>80</x:v>
      </x:c>
      <x:c r="P6" s="82" t="n">
        <x:v>65</x:v>
      </x:c>
      <x:c r="Q6" s="143" t="n">
        <x:f>MAX(L6,N6)*Metodologia!$B$16</x:f>
        <x:v>169</x:v>
      </x:c>
      <x:c r="R6" s="143" t="n">
        <x:f>MIN(L6,N6)*Metodologia!$B$16</x:f>
        <x:v>71.5</x:v>
      </x:c>
      <x:c r="S6" s="143" t="n">
        <x:f>SQRT(K6*AVERAGE(M6,O6)*Metodologia!$B$16)</x:f>
        <x:v>90.49861877399013</x:v>
      </x:c>
      <x:c r="T6" s="82" t="str">
        <x:v>Sim</x:v>
      </x:c>
      <x:c r="U6" s="82" t="str">
        <x:v>Rankeado</x:v>
      </x:c>
      <x:c r="V6" s="82" t="str">
        <x:v>Perfil físico; melhor atributo ofensivo 130, ofensiva secundária 55, robustez relativa 58% e Speed 65. O índice privilegia dano de hunt, sem ignorar sobrevivência.</x:v>
      </x:c>
      <x:c r="W6" s="82" t="str">
        <x:v>Fica atrás de Exeggutor principalmente por ofensiva secundária 42.1% menor e robustez sustentada 9.0% menor.</x:v>
      </x:c>
      <x:c r="X6" s="82" t="str">
        <x:v>Fica à frente de Pinsir porque possui teto ofensivo 4.0% maior e robustez sustentada 6.8% maior.</x:v>
      </x:c>
      <x:c r="Y6" s="154" t="str">
        <x:v>https://poke.idleworld.online/pokepedia/pokemon/scizor</x:v>
      </x:c>
    </x:row>
    <x:row r="7" ht="48" customHeight="1">
      <x:c r="A7" s="82" t="n">
        <x:f>IF(U7&lt;&gt;"Rankeado","",COUNTIFS($U$5:$U$48,"Rankeado",$I$5:$I$48,"&gt;"&amp;I7)+COUNTIFS($U$5:U7,"Rankeado",$I$5:I7,I7))</x:f>
        <x:v>3</x:v>
      </x:c>
      <x:c r="B7" s="82" t="n">
        <x:f>COUNTIF($I$5:$I$48,"&gt;"&amp;I7)+COUNTIF($I$5:I7,I7)</x:f>
        <x:v>3</x:v>
      </x:c>
      <x:c r="C7" s="82" t="str">
        <x:f>IF(I7&gt;=80,"S+",IF(I7&gt;=72,"S",IF(I7&gt;=65,"A",IF(I7&gt;=58,"B",IF(I7&gt;=50,"C",IF(I7&gt;=42,"D","E"))))))</x:f>
        <x:v>A</x:v>
      </x:c>
      <x:c r="D7" s="82" t="str">
        <x:f>IF(AND(U7="Rankeado",A7&lt;=6),"Sim","Não")</x:f>
        <x:v>Sim</x:v>
      </x:c>
      <x:c r="E7" s="82" t="n">
        <x:v>127</x:v>
      </x:c>
      <x:c r="F7" s="80" t="str">
        <x:v>Pinsir</x:v>
      </x:c>
      <x:c r="G7" s="82" t="str">
        <x:v>Inseto</x:v>
      </x:c>
      <x:c r="H7" s="82" t="str">
        <x:v>Físico</x:v>
      </x:c>
      <x:c r="I7" s="142" t="n">
        <x:f>ROUND(100*(Metodologia!$B$17*(Q7/Metodologia!$B$22)+Metodologia!$B$18*(R7/Metodologia!$B$23)+Metodologia!$B$19*(S7/Metodologia!$B$24)+Metodologia!$B$20*(P7/Metodologia!$B$25)+Metodologia!$B$21*(J7/Metodologia!$B$26)),2)</x:f>
        <x:v>71.24</x:v>
      </x:c>
      <x:c r="J7" s="82" t="n">
        <x:f>SUM(K7:P7)</x:f>
        <x:v>500</x:v>
      </x:c>
      <x:c r="K7" s="82" t="n">
        <x:v>65</x:v>
      </x:c>
      <x:c r="L7" s="82" t="n">
        <x:v>125</x:v>
      </x:c>
      <x:c r="M7" s="82" t="n">
        <x:v>100</x:v>
      </x:c>
      <x:c r="N7" s="82" t="n">
        <x:v>55</x:v>
      </x:c>
      <x:c r="O7" s="82" t="n">
        <x:v>70</x:v>
      </x:c>
      <x:c r="P7" s="82" t="n">
        <x:v>85</x:v>
      </x:c>
      <x:c r="Q7" s="143" t="n">
        <x:f>MAX(L7,N7)*Metodologia!$B$16</x:f>
        <x:v>162.5</x:v>
      </x:c>
      <x:c r="R7" s="143" t="n">
        <x:f>MIN(L7,N7)*Metodologia!$B$16</x:f>
        <x:v>71.5</x:v>
      </x:c>
      <x:c r="S7" s="143" t="n">
        <x:f>SQRT(K7*AVERAGE(M7,O7)*Metodologia!$B$16)</x:f>
        <x:v>84.74963126763443</x:v>
      </x:c>
      <x:c r="T7" s="82" t="str">
        <x:v>Sim</x:v>
      </x:c>
      <x:c r="U7" s="82" t="str">
        <x:v>Rankeado</x:v>
      </x:c>
      <x:c r="V7" s="82" t="str">
        <x:v>Perfil físico; melhor atributo ofensivo 125, ofensiva secundária 55, robustez relativa 55% e Speed 85. O índice privilegia dano de hunt, sem ignorar sobrevivência.</x:v>
      </x:c>
      <x:c r="W7" s="82" t="str">
        <x:v>Fica atrás de Scizor principalmente por teto ofensivo 3.8% menor e robustez sustentada 6.4% menor.</x:v>
      </x:c>
      <x:c r="X7" s="82" t="str">
        <x:v>Fica à frente de Heracross porque possui ofensiva secundária 37.5% maior.</x:v>
      </x:c>
      <x:c r="Y7" s="154" t="str">
        <x:v>https://poke.idleworld.online/pokepedia/pokemon/pinsir</x:v>
      </x:c>
    </x:row>
    <x:row r="8" ht="48" customHeight="1">
      <x:c r="A8" s="82" t="n">
        <x:f>IF(U8&lt;&gt;"Rankeado","",COUNTIFS($U$5:$U$48,"Rankeado",$I$5:$I$48,"&gt;"&amp;I8)+COUNTIFS($U$5:U8,"Rankeado",$I$5:I8,I8))</x:f>
        <x:v>4</x:v>
      </x:c>
      <x:c r="B8" s="82" t="n">
        <x:f>COUNTIF($I$5:$I$48,"&gt;"&amp;I8)+COUNTIF($I$5:I8,I8)</x:f>
        <x:v>4</x:v>
      </x:c>
      <x:c r="C8" s="82" t="str">
        <x:f>IF(I8&gt;=80,"S+",IF(I8&gt;=72,"S",IF(I8&gt;=65,"A",IF(I8&gt;=58,"B",IF(I8&gt;=50,"C",IF(I8&gt;=42,"D","E"))))))</x:f>
        <x:v>A</x:v>
      </x:c>
      <x:c r="D8" s="82" t="str">
        <x:f>IF(AND(U8="Rankeado",A8&lt;=6),"Sim","Não")</x:f>
        <x:v>Sim</x:v>
      </x:c>
      <x:c r="E8" s="82" t="n">
        <x:v>214</x:v>
      </x:c>
      <x:c r="F8" s="80" t="str">
        <x:v>Heracross</x:v>
      </x:c>
      <x:c r="G8" s="82" t="str">
        <x:v>Inseto / Lutador</x:v>
      </x:c>
      <x:c r="H8" s="82" t="str">
        <x:v>Físico</x:v>
      </x:c>
      <x:c r="I8" s="142" t="n">
        <x:f>ROUND(100*(Metodologia!$B$17*(Q8/Metodologia!$B$22)+Metodologia!$B$18*(R8/Metodologia!$B$23)+Metodologia!$B$19*(S8/Metodologia!$B$24)+Metodologia!$B$20*(P8/Metodologia!$B$25)+Metodologia!$B$21*(J8/Metodologia!$B$26)),2)</x:f>
        <x:v>70.78</x:v>
      </x:c>
      <x:c r="J8" s="82" t="n">
        <x:f>SUM(K8:P8)</x:f>
        <x:v>500</x:v>
      </x:c>
      <x:c r="K8" s="82" t="n">
        <x:v>80</x:v>
      </x:c>
      <x:c r="L8" s="82" t="n">
        <x:v>125</x:v>
      </x:c>
      <x:c r="M8" s="82" t="n">
        <x:v>75</x:v>
      </x:c>
      <x:c r="N8" s="82" t="n">
        <x:v>40</x:v>
      </x:c>
      <x:c r="O8" s="82" t="n">
        <x:v>95</x:v>
      </x:c>
      <x:c r="P8" s="82" t="n">
        <x:v>85</x:v>
      </x:c>
      <x:c r="Q8" s="143" t="n">
        <x:f>MAX(L8,N8)*Metodologia!$B$16</x:f>
        <x:v>162.5</x:v>
      </x:c>
      <x:c r="R8" s="143" t="n">
        <x:f>MIN(L8,N8)*Metodologia!$B$16</x:f>
        <x:v>52</x:v>
      </x:c>
      <x:c r="S8" s="143" t="n">
        <x:f>SQRT(K8*AVERAGE(M8,O8)*Metodologia!$B$16)</x:f>
        <x:v>94.02127418834527</x:v>
      </x:c>
      <x:c r="T8" s="82" t="str">
        <x:v>Sim</x:v>
      </x:c>
      <x:c r="U8" s="82" t="str">
        <x:v>Rankeado</x:v>
      </x:c>
      <x:c r="V8" s="82" t="str">
        <x:v>Perfil físico; melhor atributo ofensivo 125, ofensiva secundária 40, robustez relativa 61% e Speed 85. O índice privilegia dano de hunt, sem ignorar sobrevivência.</x:v>
      </x:c>
      <x:c r="W8" s="82" t="str">
        <x:v>Fica atrás de Pinsir principalmente por ofensiva secundária 27.3% menor.</x:v>
      </x:c>
      <x:c r="X8" s="82" t="str">
        <x:v>Fica à frente de Scyther porque possui teto ofensivo 13.6% maior e robustez sustentada 10.2% maior.</x:v>
      </x:c>
      <x:c r="Y8" s="154" t="str">
        <x:v>https://poke.idleworld.online/pokepedia/pokemon/heracross</x:v>
      </x:c>
    </x:row>
    <x:row r="9" ht="48" customHeight="1">
      <x:c r="A9" s="82" t="n">
        <x:f>IF(U9&lt;&gt;"Rankeado","",COUNTIFS($U$5:$U$48,"Rankeado",$I$5:$I$48,"&gt;"&amp;I9)+COUNTIFS($U$5:U9,"Rankeado",$I$5:I9,I9))</x:f>
        <x:v>5</x:v>
      </x:c>
      <x:c r="B9" s="82" t="n">
        <x:f>COUNTIF($I$5:$I$48,"&gt;"&amp;I9)+COUNTIF($I$5:I9,I9)</x:f>
        <x:v>6</x:v>
      </x:c>
      <x:c r="C9" s="82" t="str">
        <x:f>IF(I9&gt;=80,"S+",IF(I9&gt;=72,"S",IF(I9&gt;=65,"A",IF(I9&gt;=58,"B",IF(I9&gt;=50,"C",IF(I9&gt;=42,"D","E"))))))</x:f>
        <x:v>A</x:v>
      </x:c>
      <x:c r="D9" s="82" t="str">
        <x:f>IF(AND(U9="Rankeado",A9&lt;=6),"Sim","Não")</x:f>
        <x:v>Sim</x:v>
      </x:c>
      <x:c r="E9" s="82" t="n">
        <x:v>123</x:v>
      </x:c>
      <x:c r="F9" s="80" t="str">
        <x:v>Scyther</x:v>
      </x:c>
      <x:c r="G9" s="82" t="str">
        <x:v>Inseto / Voador</x:v>
      </x:c>
      <x:c r="H9" s="82" t="str">
        <x:v>Físico</x:v>
      </x:c>
      <x:c r="I9" s="142" t="n">
        <x:f>ROUND(100*(Metodologia!$B$17*(Q9/Metodologia!$B$22)+Metodologia!$B$18*(R9/Metodologia!$B$23)+Metodologia!$B$19*(S9/Metodologia!$B$24)+Metodologia!$B$20*(P9/Metodologia!$B$25)+Metodologia!$B$21*(J9/Metodologia!$B$26)),2)</x:f>
        <x:v>66.79</x:v>
      </x:c>
      <x:c r="J9" s="82" t="n">
        <x:f>SUM(K9:P9)</x:f>
        <x:v>500</x:v>
      </x:c>
      <x:c r="K9" s="82" t="n">
        <x:v>70</x:v>
      </x:c>
      <x:c r="L9" s="82" t="n">
        <x:v>110</x:v>
      </x:c>
      <x:c r="M9" s="82" t="n">
        <x:v>80</x:v>
      </x:c>
      <x:c r="N9" s="82" t="n">
        <x:v>55</x:v>
      </x:c>
      <x:c r="O9" s="82" t="n">
        <x:v>80</x:v>
      </x:c>
      <x:c r="P9" s="82" t="n">
        <x:v>105</x:v>
      </x:c>
      <x:c r="Q9" s="143" t="n">
        <x:f>MAX(L9,N9)*Metodologia!$B$16</x:f>
        <x:v>143</x:v>
      </x:c>
      <x:c r="R9" s="143" t="n">
        <x:f>MIN(L9,N9)*Metodologia!$B$16</x:f>
        <x:v>71.5</x:v>
      </x:c>
      <x:c r="S9" s="143" t="n">
        <x:f>SQRT(K9*AVERAGE(M9,O9)*Metodologia!$B$16)</x:f>
        <x:v>85.32291603080617</x:v>
      </x:c>
      <x:c r="T9" s="82" t="str">
        <x:v>Sim</x:v>
      </x:c>
      <x:c r="U9" s="82" t="str">
        <x:v>Rankeado</x:v>
      </x:c>
      <x:c r="V9" s="82" t="str">
        <x:v>Perfil físico; melhor atributo ofensivo 110, ofensiva secundária 55, robustez relativa 55% e Speed 105. O índice privilegia dano de hunt, sem ignorar sobrevivência.</x:v>
      </x:c>
      <x:c r="W9" s="82" t="str">
        <x:v>Fica atrás de Heracross principalmente por teto ofensivo 12.0% menor e robustez sustentada 9.3% menor.</x:v>
      </x:c>
      <x:c r="X9" s="82" t="str">
        <x:v>Fica à frente de Victreebel porque possui velocidade 50.0% maior e teto ofensivo 4.8% maior.</x:v>
      </x:c>
      <x:c r="Y9" s="154" t="str">
        <x:v>https://poke.idleworld.online/pokepedia/pokemon/scyther</x:v>
      </x:c>
    </x:row>
    <x:row r="10" ht="48" customHeight="1">
      <x:c r="A10" s="82" t="n">
        <x:f>IF(U10&lt;&gt;"Rankeado","",COUNTIFS($U$5:$U$48,"Rankeado",$I$5:$I$48,"&gt;"&amp;I10)+COUNTIFS($U$5:U10,"Rankeado",$I$5:I10,I10))</x:f>
        <x:v>6</x:v>
      </x:c>
      <x:c r="B10" s="82" t="n">
        <x:f>COUNTIF($I$5:$I$48,"&gt;"&amp;I10)+COUNTIF($I$5:I10,I10)</x:f>
        <x:v>7</x:v>
      </x:c>
      <x:c r="C10" s="82" t="str">
        <x:f>IF(I10&gt;=80,"S+",IF(I10&gt;=72,"S",IF(I10&gt;=65,"A",IF(I10&gt;=58,"B",IF(I10&gt;=50,"C",IF(I10&gt;=42,"D","E"))))))</x:f>
        <x:v>A</x:v>
      </x:c>
      <x:c r="D10" s="82" t="str">
        <x:f>IF(AND(U10="Rankeado",A10&lt;=6),"Sim","Não")</x:f>
        <x:v>Sim</x:v>
      </x:c>
      <x:c r="E10" s="82" t="n">
        <x:v>71</x:v>
      </x:c>
      <x:c r="F10" s="80" t="str">
        <x:v>Victreebel</x:v>
      </x:c>
      <x:c r="G10" s="82" t="str">
        <x:v>Planta / Veneno</x:v>
      </x:c>
      <x:c r="H10" s="82" t="str">
        <x:v>Misto</x:v>
      </x:c>
      <x:c r="I10" s="142" t="n">
        <x:f>ROUND(100*(Metodologia!$B$17*(Q10/Metodologia!$B$22)+Metodologia!$B$18*(R10/Metodologia!$B$23)+Metodologia!$B$19*(S10/Metodologia!$B$24)+Metodologia!$B$20*(P10/Metodologia!$B$25)+Metodologia!$B$21*(J10/Metodologia!$B$26)),2)</x:f>
        <x:v>66.38</x:v>
      </x:c>
      <x:c r="J10" s="82" t="n">
        <x:f>SUM(K10:P10)</x:f>
        <x:v>490</x:v>
      </x:c>
      <x:c r="K10" s="82" t="n">
        <x:v>80</x:v>
      </x:c>
      <x:c r="L10" s="82" t="n">
        <x:v>105</x:v>
      </x:c>
      <x:c r="M10" s="82" t="n">
        <x:v>65</x:v>
      </x:c>
      <x:c r="N10" s="82" t="n">
        <x:v>100</x:v>
      </x:c>
      <x:c r="O10" s="82" t="n">
        <x:v>70</x:v>
      </x:c>
      <x:c r="P10" s="82" t="n">
        <x:v>70</x:v>
      </x:c>
      <x:c r="Q10" s="143" t="n">
        <x:f>MAX(L10,N10)*Metodologia!$B$16</x:f>
        <x:v>136.5</x:v>
      </x:c>
      <x:c r="R10" s="143" t="n">
        <x:f>MIN(L10,N10)*Metodologia!$B$16</x:f>
        <x:v>130</x:v>
      </x:c>
      <x:c r="S10" s="143" t="n">
        <x:f>SQRT(K10*AVERAGE(M10,O10)*Metodologia!$B$16)</x:f>
        <x:v>83.78544026261365</x:v>
      </x:c>
      <x:c r="T10" s="82" t="str">
        <x:v>Sim</x:v>
      </x:c>
      <x:c r="U10" s="82" t="str">
        <x:v>Rankeado</x:v>
      </x:c>
      <x:c r="V10" s="82" t="str">
        <x:v>Perfil misto; melhor atributo ofensivo 105, ofensiva secundária 100, robustez relativa 54% e Speed 70. O índice privilegia dano de hunt, sem ignorar sobrevivência.</x:v>
      </x:c>
      <x:c r="W10" s="82" t="str">
        <x:v>Fica atrás de Scyther principalmente por velocidade 33.3% menor e teto ofensivo 4.5% menor.</x:v>
      </x:c>
      <x:c r="X10" s="82" t="str">
        <x:v>Fica à frente de Vileplume porque possui ofensiva secundária 25.0% maior e velocidade 40.0% maior.</x:v>
      </x:c>
      <x:c r="Y10" s="154" t="str">
        <x:v>https://poke.idleworld.online/pokepedia/pokemon/victreebel</x:v>
      </x:c>
    </x:row>
    <x:row r="11" ht="48" customHeight="1">
      <x:c r="A11" s="82" t="n">
        <x:f>IF(U11&lt;&gt;"Rankeado","",COUNTIFS($U$5:$U$48,"Rankeado",$I$5:$I$48,"&gt;"&amp;I11)+COUNTIFS($U$5:U11,"Rankeado",$I$5:I11,I11))</x:f>
        <x:v>7</x:v>
      </x:c>
      <x:c r="B11" s="82" t="n">
        <x:f>COUNTIF($I$5:$I$48,"&gt;"&amp;I11)+COUNTIF($I$5:I11,I11)</x:f>
        <x:v>8</x:v>
      </x:c>
      <x:c r="C11" s="82" t="str">
        <x:f>IF(I11&gt;=80,"S+",IF(I11&gt;=72,"S",IF(I11&gt;=65,"A",IF(I11&gt;=58,"B",IF(I11&gt;=50,"C",IF(I11&gt;=42,"D","E"))))))</x:f>
        <x:v>A</x:v>
      </x:c>
      <x:c r="D11" s="82" t="str">
        <x:f>IF(AND(U11="Rankeado",A11&lt;=6),"Sim","Não")</x:f>
        <x:v>Não</x:v>
      </x:c>
      <x:c r="E11" s="82" t="n">
        <x:v>45</x:v>
      </x:c>
      <x:c r="F11" s="80" t="str">
        <x:v>Vileplume</x:v>
      </x:c>
      <x:c r="G11" s="82" t="str">
        <x:v>Planta / Veneno</x:v>
      </x:c>
      <x:c r="H11" s="82" t="str">
        <x:v>Especial</x:v>
      </x:c>
      <x:c r="I11" s="142" t="n">
        <x:f>ROUND(100*(Metodologia!$B$17*(Q11/Metodologia!$B$22)+Metodologia!$B$18*(R11/Metodologia!$B$23)+Metodologia!$B$19*(S11/Metodologia!$B$24)+Metodologia!$B$20*(P11/Metodologia!$B$25)+Metodologia!$B$21*(J11/Metodologia!$B$26)),2)</x:f>
        <x:v>66</x:v>
      </x:c>
      <x:c r="J11" s="82" t="n">
        <x:f>SUM(K11:P11)</x:f>
        <x:v>490</x:v>
      </x:c>
      <x:c r="K11" s="82" t="n">
        <x:v>75</x:v>
      </x:c>
      <x:c r="L11" s="82" t="n">
        <x:v>80</x:v>
      </x:c>
      <x:c r="M11" s="82" t="n">
        <x:v>85</x:v>
      </x:c>
      <x:c r="N11" s="82" t="n">
        <x:v>110</x:v>
      </x:c>
      <x:c r="O11" s="82" t="n">
        <x:v>90</x:v>
      </x:c>
      <x:c r="P11" s="82" t="n">
        <x:v>50</x:v>
      </x:c>
      <x:c r="Q11" s="143" t="n">
        <x:f>MAX(L11,N11)*Metodologia!$B$16</x:f>
        <x:v>143</x:v>
      </x:c>
      <x:c r="R11" s="143" t="n">
        <x:f>MIN(L11,N11)*Metodologia!$B$16</x:f>
        <x:v>104</x:v>
      </x:c>
      <x:c r="S11" s="143" t="n">
        <x:f>SQRT(K11*AVERAGE(M11,O11)*Metodologia!$B$16)</x:f>
        <x:v>92.36476600955584</x:v>
      </x:c>
      <x:c r="T11" s="82" t="str">
        <x:v>Sim</x:v>
      </x:c>
      <x:c r="U11" s="82" t="str">
        <x:v>Rankeado</x:v>
      </x:c>
      <x:c r="V11" s="82" t="str">
        <x:v>Perfil especial; melhor atributo ofensivo 110, ofensiva secundária 80, robustez relativa 60% e Speed 50. O índice privilegia dano de hunt, sem ignorar sobrevivência.</x:v>
      </x:c>
      <x:c r="W11" s="82" t="str">
        <x:v>Fica atrás de Victreebel principalmente por ofensiva secundária 20.0% menor e velocidade 28.6% menor.</x:v>
      </x:c>
      <x:c r="X11" s="82" t="str">
        <x:v>Fica à frente de Venusaur porque possui teto ofensivo 10.0% maior.</x:v>
      </x:c>
      <x:c r="Y11" s="154" t="str">
        <x:v>https://poke.idleworld.online/pokepedia/pokemon/vileplume</x:v>
      </x:c>
    </x:row>
    <x:row r="12" ht="48" customHeight="1">
      <x:c r="A12" s="82" t="n">
        <x:f>IF(U12&lt;&gt;"Rankeado","",COUNTIFS($U$5:$U$48,"Rankeado",$I$5:$I$48,"&gt;"&amp;I12)+COUNTIFS($U$5:U12,"Rankeado",$I$5:I12,I12))</x:f>
        <x:v>8</x:v>
      </x:c>
      <x:c r="B12" s="82" t="n">
        <x:f>COUNTIF($I$5:$I$48,"&gt;"&amp;I12)+COUNTIF($I$5:I12,I12)</x:f>
        <x:v>9</x:v>
      </x:c>
      <x:c r="C12" s="82" t="str">
        <x:f>IF(I12&gt;=80,"S+",IF(I12&gt;=72,"S",IF(I12&gt;=65,"A",IF(I12&gt;=58,"B",IF(I12&gt;=50,"C",IF(I12&gt;=42,"D","E"))))))</x:f>
        <x:v>A</x:v>
      </x:c>
      <x:c r="D12" s="82" t="str">
        <x:f>IF(AND(U12="Rankeado",A12&lt;=6),"Sim","Não")</x:f>
        <x:v>Não</x:v>
      </x:c>
      <x:c r="E12" s="82" t="n">
        <x:v>3</x:v>
      </x:c>
      <x:c r="F12" s="80" t="str">
        <x:v>Venusaur</x:v>
      </x:c>
      <x:c r="G12" s="82" t="str">
        <x:v>Planta / Veneno</x:v>
      </x:c>
      <x:c r="H12" s="82" t="str">
        <x:v>Especial</x:v>
      </x:c>
      <x:c r="I12" s="142" t="n">
        <x:f>ROUND(100*(Metodologia!$B$17*(Q12/Metodologia!$B$22)+Metodologia!$B$18*(R12/Metodologia!$B$23)+Metodologia!$B$19*(S12/Metodologia!$B$24)+Metodologia!$B$20*(P12/Metodologia!$B$25)+Metodologia!$B$21*(J12/Metodologia!$B$26)),2)</x:f>
        <x:v>65.05</x:v>
      </x:c>
      <x:c r="J12" s="82" t="n">
        <x:f>SUM(K12:P12)</x:f>
        <x:v>525</x:v>
      </x:c>
      <x:c r="K12" s="82" t="n">
        <x:v>80</x:v>
      </x:c>
      <x:c r="L12" s="82" t="n">
        <x:v>82</x:v>
      </x:c>
      <x:c r="M12" s="82" t="n">
        <x:v>83</x:v>
      </x:c>
      <x:c r="N12" s="82" t="n">
        <x:v>100</x:v>
      </x:c>
      <x:c r="O12" s="82" t="n">
        <x:v>100</x:v>
      </x:c>
      <x:c r="P12" s="82" t="n">
        <x:v>80</x:v>
      </x:c>
      <x:c r="Q12" s="143" t="n">
        <x:f>MAX(L12,N12)*Metodologia!$B$16</x:f>
        <x:v>130</x:v>
      </x:c>
      <x:c r="R12" s="143" t="n">
        <x:f>MIN(L12,N12)*Metodologia!$B$16</x:f>
        <x:v>106.60000000000001</x:v>
      </x:c>
      <x:c r="S12" s="143" t="n">
        <x:f>SQRT(K12*AVERAGE(M12,O12)*Metodologia!$B$16)</x:f>
        <x:v>97.54998718605759</x:v>
      </x:c>
      <x:c r="T12" s="82" t="str">
        <x:v>Sim</x:v>
      </x:c>
      <x:c r="U12" s="82" t="str">
        <x:v>Rankeado</x:v>
      </x:c>
      <x:c r="V12" s="82" t="str">
        <x:v>Perfil especial; melhor atributo ofensivo 100, ofensiva secundária 82, robustez relativa 63% e Speed 80. O índice privilegia dano de hunt, sem ignorar sobrevivência.</x:v>
      </x:c>
      <x:c r="W12" s="82" t="str">
        <x:v>Fica atrás de Vileplume principalmente por teto ofensivo 9.1% menor.</x:v>
      </x:c>
      <x:c r="X12" s="82" t="str">
        <x:v>Fica à frente de Sunflora porque possui velocidade 166.7% maior e robustez sustentada 18.1% maior.</x:v>
      </x:c>
      <x:c r="Y12" s="154" t="str">
        <x:v>https://poke.idleworld.online/pokepedia/pokemon/venusaur</x:v>
      </x:c>
    </x:row>
    <x:row r="13" ht="48" customHeight="1">
      <x:c r="A13" s="82" t="n">
        <x:f>IF(U13&lt;&gt;"Rankeado","",COUNTIFS($U$5:$U$48,"Rankeado",$I$5:$I$48,"&gt;"&amp;I13)+COUNTIFS($U$5:U13,"Rankeado",$I$5:I13,I13))</x:f>
        <x:v>9</x:v>
      </x:c>
      <x:c r="B13" s="82" t="n">
        <x:f>COUNTIF($I$5:$I$48,"&gt;"&amp;I13)+COUNTIF($I$5:I13,I13)</x:f>
        <x:v>10</x:v>
      </x:c>
      <x:c r="C13" s="82" t="str">
        <x:f>IF(I13&gt;=80,"S+",IF(I13&gt;=72,"S",IF(I13&gt;=65,"A",IF(I13&gt;=58,"B",IF(I13&gt;=50,"C",IF(I13&gt;=42,"D","E"))))))</x:f>
        <x:v>B</x:v>
      </x:c>
      <x:c r="D13" s="82" t="str">
        <x:f>IF(AND(U13="Rankeado",A13&lt;=6),"Sim","Não")</x:f>
        <x:v>Não</x:v>
      </x:c>
      <x:c r="E13" s="82" t="n">
        <x:v>192</x:v>
      </x:c>
      <x:c r="F13" s="80" t="str">
        <x:v>Sunflora</x:v>
      </x:c>
      <x:c r="G13" s="82" t="str">
        <x:v>Planta</x:v>
      </x:c>
      <x:c r="H13" s="82" t="str">
        <x:v>Especial</x:v>
      </x:c>
      <x:c r="I13" s="142" t="n">
        <x:f>ROUND(100*(Metodologia!$B$17*(Q13/Metodologia!$B$22)+Metodologia!$B$18*(R13/Metodologia!$B$23)+Metodologia!$B$19*(S13/Metodologia!$B$24)+Metodologia!$B$20*(P13/Metodologia!$B$25)+Metodologia!$B$21*(J13/Metodologia!$B$26)),2)</x:f>
        <x:v>60.85</x:v>
      </x:c>
      <x:c r="J13" s="82" t="n">
        <x:f>SUM(K13:P13)</x:f>
        <x:v>425</x:v>
      </x:c>
      <x:c r="K13" s="82" t="n">
        <x:v>75</x:v>
      </x:c>
      <x:c r="L13" s="82" t="n">
        <x:v>75</x:v>
      </x:c>
      <x:c r="M13" s="82" t="n">
        <x:v>55</x:v>
      </x:c>
      <x:c r="N13" s="82" t="n">
        <x:v>105</x:v>
      </x:c>
      <x:c r="O13" s="82" t="n">
        <x:v>85</x:v>
      </x:c>
      <x:c r="P13" s="82" t="n">
        <x:v>30</x:v>
      </x:c>
      <x:c r="Q13" s="143" t="n">
        <x:f>MAX(L13,N13)*Metodologia!$B$16</x:f>
        <x:v>136.5</x:v>
      </x:c>
      <x:c r="R13" s="143" t="n">
        <x:f>MIN(L13,N13)*Metodologia!$B$16</x:f>
        <x:v>97.5</x:v>
      </x:c>
      <x:c r="S13" s="143" t="n">
        <x:f>SQRT(K13*AVERAGE(M13,O13)*Metodologia!$B$16)</x:f>
        <x:v>82.61355820929153</x:v>
      </x:c>
      <x:c r="T13" s="82" t="str">
        <x:v>Sim</x:v>
      </x:c>
      <x:c r="U13" s="82" t="str">
        <x:v>Rankeado</x:v>
      </x:c>
      <x:c r="V13" s="82" t="str">
        <x:v>Perfil especial; melhor atributo ofensivo 105, ofensiva secundária 75, robustez relativa 53% e Speed 30. O índice privilegia dano de hunt, sem ignorar sobrevivência.</x:v>
      </x:c>
      <x:c r="W13" s="82" t="str">
        <x:v>Fica atrás de Venusaur principalmente por velocidade 62.5% menor e robustez sustentada 15.3% menor.</x:v>
      </x:c>
      <x:c r="X13" s="82" t="str">
        <x:v>Fica à frente de Tangela porque possui teto ofensivo 5.0% maior e ofensiva secundária 36.4% maior.</x:v>
      </x:c>
      <x:c r="Y13" s="154" t="str">
        <x:v>https://poke.idleworld.online/pokepedia/pokemon/sunflora</x:v>
      </x:c>
    </x:row>
    <x:row r="14" ht="48" customHeight="1">
      <x:c r="A14" s="82" t="n">
        <x:f>IF(U14&lt;&gt;"Rankeado","",COUNTIFS($U$5:$U$48,"Rankeado",$I$5:$I$48,"&gt;"&amp;I14)+COUNTIFS($U$5:U14,"Rankeado",$I$5:I14,I14))</x:f>
        <x:v>10</x:v>
      </x:c>
      <x:c r="B14" s="82" t="n">
        <x:f>COUNTIF($I$5:$I$48,"&gt;"&amp;I14)+COUNTIF($I$5:I14,I14)</x:f>
        <x:v>11</x:v>
      </x:c>
      <x:c r="C14" s="82" t="str">
        <x:f>IF(I14&gt;=80,"S+",IF(I14&gt;=72,"S",IF(I14&gt;=65,"A",IF(I14&gt;=58,"B",IF(I14&gt;=50,"C",IF(I14&gt;=42,"D","E"))))))</x:f>
        <x:v>B</x:v>
      </x:c>
      <x:c r="D14" s="82" t="str">
        <x:f>IF(AND(U14="Rankeado",A14&lt;=6),"Sim","Não")</x:f>
        <x:v>Não</x:v>
      </x:c>
      <x:c r="E14" s="82" t="n">
        <x:v>114</x:v>
      </x:c>
      <x:c r="F14" s="80" t="str">
        <x:v>Tangela</x:v>
      </x:c>
      <x:c r="G14" s="82" t="str">
        <x:v>Planta</x:v>
      </x:c>
      <x:c r="H14" s="82" t="str">
        <x:v>Especial</x:v>
      </x:c>
      <x:c r="I14" s="142" t="n">
        <x:f>ROUND(100*(Metodologia!$B$17*(Q14/Metodologia!$B$22)+Metodologia!$B$18*(R14/Metodologia!$B$23)+Metodologia!$B$19*(S14/Metodologia!$B$24)+Metodologia!$B$20*(P14/Metodologia!$B$25)+Metodologia!$B$21*(J14/Metodologia!$B$26)),2)</x:f>
        <x:v>58.99</x:v>
      </x:c>
      <x:c r="J14" s="82" t="n">
        <x:f>SUM(K14:P14)</x:f>
        <x:v>435</x:v>
      </x:c>
      <x:c r="K14" s="82" t="n">
        <x:v>65</x:v>
      </x:c>
      <x:c r="L14" s="82" t="n">
        <x:v>55</x:v>
      </x:c>
      <x:c r="M14" s="82" t="n">
        <x:v>115</x:v>
      </x:c>
      <x:c r="N14" s="82" t="n">
        <x:v>100</x:v>
      </x:c>
      <x:c r="O14" s="82" t="n">
        <x:v>40</x:v>
      </x:c>
      <x:c r="P14" s="82" t="n">
        <x:v>60</x:v>
      </x:c>
      <x:c r="Q14" s="143" t="n">
        <x:f>MAX(L14,N14)*Metodologia!$B$16</x:f>
        <x:v>130</x:v>
      </x:c>
      <x:c r="R14" s="143" t="n">
        <x:f>MIN(L14,N14)*Metodologia!$B$16</x:f>
        <x:v>71.5</x:v>
      </x:c>
      <x:c r="S14" s="143" t="n">
        <x:f>SQRT(K14*AVERAGE(M14,O14)*Metodologia!$B$16)</x:f>
        <x:v>80.92434738692675</x:v>
      </x:c>
      <x:c r="T14" s="82" t="str">
        <x:v>Sim</x:v>
      </x:c>
      <x:c r="U14" s="82" t="str">
        <x:v>Rankeado</x:v>
      </x:c>
      <x:c r="V14" s="82" t="str">
        <x:v>Perfil especial; melhor atributo ofensivo 100, ofensiva secundária 55, robustez relativa 52% e Speed 60. O índice privilegia dano de hunt, sem ignorar sobrevivência.</x:v>
      </x:c>
      <x:c r="W14" s="82" t="str">
        <x:v>Fica atrás de Sunflora principalmente por teto ofensivo 4.8% menor e ofensiva secundária 26.7% menor.</x:v>
      </x:c>
      <x:c r="X14" s="82" t="str">
        <x:v>Fica à frente de Meganium porque possui teto ofensivo 20.5% maior.</x:v>
      </x:c>
      <x:c r="Y14" s="154" t="str">
        <x:v>https://poke.idleworld.online/pokepedia/pokemon/tangela</x:v>
      </x:c>
    </x:row>
    <x:row r="15" ht="48" customHeight="1">
      <x:c r="A15" s="82" t="n">
        <x:f>IF(U15&lt;&gt;"Rankeado","",COUNTIFS($U$5:$U$48,"Rankeado",$I$5:$I$48,"&gt;"&amp;I15)+COUNTIFS($U$5:U15,"Rankeado",$I$5:I15,I15))</x:f>
        <x:v>11</x:v>
      </x:c>
      <x:c r="B15" s="82" t="n">
        <x:f>COUNTIF($I$5:$I$48,"&gt;"&amp;I15)+COUNTIF($I$5:I15,I15)</x:f>
        <x:v>12</x:v>
      </x:c>
      <x:c r="C15" s="82" t="str">
        <x:f>IF(I15&gt;=80,"S+",IF(I15&gt;=72,"S",IF(I15&gt;=65,"A",IF(I15&gt;=58,"B",IF(I15&gt;=50,"C",IF(I15&gt;=42,"D","E"))))))</x:f>
        <x:v>B</x:v>
      </x:c>
      <x:c r="D15" s="82" t="str">
        <x:f>IF(AND(U15="Rankeado",A15&lt;=6),"Sim","Não")</x:f>
        <x:v>Não</x:v>
      </x:c>
      <x:c r="E15" s="82" t="n">
        <x:v>154</x:v>
      </x:c>
      <x:c r="F15" s="80" t="str">
        <x:v>Meganium</x:v>
      </x:c>
      <x:c r="G15" s="82" t="str">
        <x:v>Planta</x:v>
      </x:c>
      <x:c r="H15" s="82" t="str">
        <x:v>Misto</x:v>
      </x:c>
      <x:c r="I15" s="142" t="n">
        <x:f>ROUND(100*(Metodologia!$B$17*(Q15/Metodologia!$B$22)+Metodologia!$B$18*(R15/Metodologia!$B$23)+Metodologia!$B$19*(S15/Metodologia!$B$24)+Metodologia!$B$20*(P15/Metodologia!$B$25)+Metodologia!$B$21*(J15/Metodologia!$B$26)),2)</x:f>
        <x:v>58.85</x:v>
      </x:c>
      <x:c r="J15" s="82" t="n">
        <x:f>SUM(K15:P15)</x:f>
        <x:v>525</x:v>
      </x:c>
      <x:c r="K15" s="82" t="n">
        <x:v>80</x:v>
      </x:c>
      <x:c r="L15" s="82" t="n">
        <x:v>82</x:v>
      </x:c>
      <x:c r="M15" s="82" t="n">
        <x:v>100</x:v>
      </x:c>
      <x:c r="N15" s="82" t="n">
        <x:v>83</x:v>
      </x:c>
      <x:c r="O15" s="82" t="n">
        <x:v>100</x:v>
      </x:c>
      <x:c r="P15" s="82" t="n">
        <x:v>80</x:v>
      </x:c>
      <x:c r="Q15" s="143" t="n">
        <x:f>MAX(L15,N15)*Metodologia!$B$16</x:f>
        <x:v>107.9</x:v>
      </x:c>
      <x:c r="R15" s="143" t="n">
        <x:f>MIN(L15,N15)*Metodologia!$B$16</x:f>
        <x:v>106.60000000000001</x:v>
      </x:c>
      <x:c r="S15" s="143" t="n">
        <x:f>SQRT(K15*AVERAGE(M15,O15)*Metodologia!$B$16)</x:f>
        <x:v>101.9803902718557</x:v>
      </x:c>
      <x:c r="T15" s="82" t="str">
        <x:v>Sim</x:v>
      </x:c>
      <x:c r="U15" s="82" t="str">
        <x:v>Rankeado</x:v>
      </x:c>
      <x:c r="V15" s="82" t="str">
        <x:v>Perfil misto; melhor atributo ofensivo 83, ofensiva secundária 82, robustez relativa 66% e Speed 80. O índice privilegia dano de hunt, sem ignorar sobrevivência.</x:v>
      </x:c>
      <x:c r="W15" s="82" t="str">
        <x:v>Fica atrás de Tangela principalmente por teto ofensivo 17.0% menor.</x:v>
      </x:c>
      <x:c r="X15" s="82" t="str">
        <x:v>Fica à frente de Bellossom porque possui velocidade 60.0% maior e robustez sustentada 4.6% maior.</x:v>
      </x:c>
      <x:c r="Y15" s="154" t="str">
        <x:v>https://poke.idleworld.online/pokepedia/pokemon/meganium</x:v>
      </x:c>
    </x:row>
    <x:row r="16" ht="48" customHeight="1">
      <x:c r="A16" s="82" t="n">
        <x:f>IF(U16&lt;&gt;"Rankeado","",COUNTIFS($U$5:$U$48,"Rankeado",$I$5:$I$48,"&gt;"&amp;I16)+COUNTIFS($U$5:U16,"Rankeado",$I$5:I16,I16))</x:f>
        <x:v>12</x:v>
      </x:c>
      <x:c r="B16" s="82" t="n">
        <x:f>COUNTIF($I$5:$I$48,"&gt;"&amp;I16)+COUNTIF($I$5:I16,I16)</x:f>
        <x:v>13</x:v>
      </x:c>
      <x:c r="C16" s="82" t="str">
        <x:f>IF(I16&gt;=80,"S+",IF(I16&gt;=72,"S",IF(I16&gt;=65,"A",IF(I16&gt;=58,"B",IF(I16&gt;=50,"C",IF(I16&gt;=42,"D","E"))))))</x:f>
        <x:v>B</x:v>
      </x:c>
      <x:c r="D16" s="82" t="str">
        <x:f>IF(AND(U16="Rankeado",A16&lt;=6),"Sim","Não")</x:f>
        <x:v>Não</x:v>
      </x:c>
      <x:c r="E16" s="82" t="n">
        <x:v>182</x:v>
      </x:c>
      <x:c r="F16" s="80" t="str">
        <x:v>Bellossom</x:v>
      </x:c>
      <x:c r="G16" s="82" t="str">
        <x:v>Planta</x:v>
      </x:c>
      <x:c r="H16" s="82" t="str">
        <x:v>Misto</x:v>
      </x:c>
      <x:c r="I16" s="142" t="n">
        <x:f>ROUND(100*(Metodologia!$B$17*(Q16/Metodologia!$B$22)+Metodologia!$B$18*(R16/Metodologia!$B$23)+Metodologia!$B$19*(S16/Metodologia!$B$24)+Metodologia!$B$20*(P16/Metodologia!$B$25)+Metodologia!$B$21*(J16/Metodologia!$B$26)),2)</x:f>
        <x:v>58.71</x:v>
      </x:c>
      <x:c r="J16" s="82" t="n">
        <x:f>SUM(K16:P16)</x:f>
        <x:v>490</x:v>
      </x:c>
      <x:c r="K16" s="82" t="n">
        <x:v>75</x:v>
      </x:c>
      <x:c r="L16" s="82" t="n">
        <x:v>80</x:v>
      </x:c>
      <x:c r="M16" s="82" t="n">
        <x:v>95</x:v>
      </x:c>
      <x:c r="N16" s="82" t="n">
        <x:v>90</x:v>
      </x:c>
      <x:c r="O16" s="82" t="n">
        <x:v>100</x:v>
      </x:c>
      <x:c r="P16" s="82" t="n">
        <x:v>50</x:v>
      </x:c>
      <x:c r="Q16" s="143" t="n">
        <x:f>MAX(L16,N16)*Metodologia!$B$16</x:f>
        <x:v>117</x:v>
      </x:c>
      <x:c r="R16" s="143" t="n">
        <x:f>MIN(L16,N16)*Metodologia!$B$16</x:f>
        <x:v>104</x:v>
      </x:c>
      <x:c r="S16" s="143" t="n">
        <x:f>SQRT(K16*AVERAGE(M16,O16)*Metodologia!$B$16)</x:f>
        <x:v>97.5</x:v>
      </x:c>
      <x:c r="T16" s="82" t="str">
        <x:v>Sim</x:v>
      </x:c>
      <x:c r="U16" s="82" t="str">
        <x:v>Rankeado</x:v>
      </x:c>
      <x:c r="V16" s="82" t="str">
        <x:v>Perfil misto; melhor atributo ofensivo 90, ofensiva secundária 80, robustez relativa 63% e Speed 50. O índice privilegia dano de hunt, sem ignorar sobrevivência.</x:v>
      </x:c>
      <x:c r="W16" s="82" t="str">
        <x:v>Fica atrás de Meganium principalmente por velocidade 37.5% menor e robustez sustentada 4.4% menor.</x:v>
      </x:c>
      <x:c r="X16" s="82" t="str">
        <x:v>Fica à frente de Venomoth porque possui robustez sustentada 24.4% maior e ofensiva secundária 23.1% maior.</x:v>
      </x:c>
      <x:c r="Y16" s="154" t="str">
        <x:v>https://poke.idleworld.online/pokepedia/pokemon/bellossom</x:v>
      </x:c>
    </x:row>
    <x:row r="17" ht="48" customHeight="1">
      <x:c r="A17" s="82" t="n">
        <x:f>IF(U17&lt;&gt;"Rankeado","",COUNTIFS($U$5:$U$48,"Rankeado",$I$5:$I$48,"&gt;"&amp;I17)+COUNTIFS($U$5:U17,"Rankeado",$I$5:I17,I17))</x:f>
        <x:v>13</x:v>
      </x:c>
      <x:c r="B17" s="82" t="n">
        <x:f>COUNTIF($I$5:$I$48,"&gt;"&amp;I17)+COUNTIF($I$5:I17,I17)</x:f>
        <x:v>14</x:v>
      </x:c>
      <x:c r="C17" s="82" t="str">
        <x:f>IF(I17&gt;=80,"S+",IF(I17&gt;=72,"S",IF(I17&gt;=65,"A",IF(I17&gt;=58,"B",IF(I17&gt;=50,"C",IF(I17&gt;=42,"D","E"))))))</x:f>
        <x:v>C</x:v>
      </x:c>
      <x:c r="D17" s="82" t="str">
        <x:f>IF(AND(U17="Rankeado",A17&lt;=6),"Sim","Não")</x:f>
        <x:v>Não</x:v>
      </x:c>
      <x:c r="E17" s="82" t="n">
        <x:v>49</x:v>
      </x:c>
      <x:c r="F17" s="80" t="str">
        <x:v>Venomoth</x:v>
      </x:c>
      <x:c r="G17" s="82" t="str">
        <x:v>Inseto / Veneno</x:v>
      </x:c>
      <x:c r="H17" s="82" t="str">
        <x:v>Especial</x:v>
      </x:c>
      <x:c r="I17" s="142" t="n">
        <x:f>ROUND(100*(Metodologia!$B$17*(Q17/Metodologia!$B$22)+Metodologia!$B$18*(R17/Metodologia!$B$23)+Metodologia!$B$19*(S17/Metodologia!$B$24)+Metodologia!$B$20*(P17/Metodologia!$B$25)+Metodologia!$B$21*(J17/Metodologia!$B$26)),2)</x:f>
        <x:v>57.87</x:v>
      </x:c>
      <x:c r="J17" s="82" t="n">
        <x:f>SUM(K17:P17)</x:f>
        <x:v>450</x:v>
      </x:c>
      <x:c r="K17" s="82" t="n">
        <x:v>70</x:v>
      </x:c>
      <x:c r="L17" s="82" t="n">
        <x:v>65</x:v>
      </x:c>
      <x:c r="M17" s="82" t="n">
        <x:v>60</x:v>
      </x:c>
      <x:c r="N17" s="82" t="n">
        <x:v>90</x:v>
      </x:c>
      <x:c r="O17" s="82" t="n">
        <x:v>75</x:v>
      </x:c>
      <x:c r="P17" s="82" t="n">
        <x:v>90</x:v>
      </x:c>
      <x:c r="Q17" s="143" t="n">
        <x:f>MAX(L17,N17)*Metodologia!$B$16</x:f>
        <x:v>117</x:v>
      </x:c>
      <x:c r="R17" s="143" t="n">
        <x:f>MIN(L17,N17)*Metodologia!$B$16</x:f>
        <x:v>84.5</x:v>
      </x:c>
      <x:c r="S17" s="143" t="n">
        <x:f>SQRT(K17*AVERAGE(M17,O17)*Metodologia!$B$16)</x:f>
        <x:v>78.3741028656788</x:v>
      </x:c>
      <x:c r="T17" s="82" t="str">
        <x:v>Sim</x:v>
      </x:c>
      <x:c r="U17" s="82" t="str">
        <x:v>Rankeado</x:v>
      </x:c>
      <x:c r="V17" s="82" t="str">
        <x:v>Perfil especial; melhor atributo ofensivo 90, ofensiva secundária 65, robustez relativa 51% e Speed 90. O índice privilegia dano de hunt, sem ignorar sobrevivência.</x:v>
      </x:c>
      <x:c r="W17" s="82" t="str">
        <x:v>Fica atrás de Bellossom principalmente por robustez sustentada 19.6% menor e ofensiva secundária 18.8% menor.</x:v>
      </x:c>
      <x:c r="X17" s="82" t="str">
        <x:v>Fica à frente de Forretress porque possui velocidade 125.0% maior e ofensiva secundária 8.3% maior.</x:v>
      </x:c>
      <x:c r="Y17" s="154" t="str">
        <x:v>https://poke.idleworld.online/pokepedia/pokemon/venomoth</x:v>
      </x:c>
    </x:row>
    <x:row r="18" ht="48" customHeight="1">
      <x:c r="A18" s="82" t="n">
        <x:f>IF(U18&lt;&gt;"Rankeado","",COUNTIFS($U$5:$U$48,"Rankeado",$I$5:$I$48,"&gt;"&amp;I18)+COUNTIFS($U$5:U18,"Rankeado",$I$5:I18,I18))</x:f>
        <x:v>14</x:v>
      </x:c>
      <x:c r="B18" s="82" t="n">
        <x:f>COUNTIF($I$5:$I$48,"&gt;"&amp;I18)+COUNTIF($I$5:I18,I18)</x:f>
        <x:v>15</x:v>
      </x:c>
      <x:c r="C18" s="82" t="str">
        <x:f>IF(I18&gt;=80,"S+",IF(I18&gt;=72,"S",IF(I18&gt;=65,"A",IF(I18&gt;=58,"B",IF(I18&gt;=50,"C",IF(I18&gt;=42,"D","E"))))))</x:f>
        <x:v>C</x:v>
      </x:c>
      <x:c r="D18" s="82" t="str">
        <x:f>IF(AND(U18="Rankeado",A18&lt;=6),"Sim","Não")</x:f>
        <x:v>Não</x:v>
      </x:c>
      <x:c r="E18" s="82" t="n">
        <x:v>205</x:v>
      </x:c>
      <x:c r="F18" s="80" t="str">
        <x:v>Forretress</x:v>
      </x:c>
      <x:c r="G18" s="82" t="str">
        <x:v>Inseto / Aço</x:v>
      </x:c>
      <x:c r="H18" s="82" t="str">
        <x:v>Físico</x:v>
      </x:c>
      <x:c r="I18" s="142" t="n">
        <x:f>ROUND(100*(Metodologia!$B$17*(Q18/Metodologia!$B$22)+Metodologia!$B$18*(R18/Metodologia!$B$23)+Metodologia!$B$19*(S18/Metodologia!$B$24)+Metodologia!$B$20*(P18/Metodologia!$B$25)+Metodologia!$B$21*(J18/Metodologia!$B$26)),2)</x:f>
        <x:v>56.16</x:v>
      </x:c>
      <x:c r="J18" s="82" t="n">
        <x:f>SUM(K18:P18)</x:f>
        <x:v>465</x:v>
      </x:c>
      <x:c r="K18" s="82" t="n">
        <x:v>75</x:v>
      </x:c>
      <x:c r="L18" s="82" t="n">
        <x:v>90</x:v>
      </x:c>
      <x:c r="M18" s="82" t="n">
        <x:v>140</x:v>
      </x:c>
      <x:c r="N18" s="82" t="n">
        <x:v>60</x:v>
      </x:c>
      <x:c r="O18" s="82" t="n">
        <x:v>60</x:v>
      </x:c>
      <x:c r="P18" s="82" t="n">
        <x:v>40</x:v>
      </x:c>
      <x:c r="Q18" s="143" t="n">
        <x:f>MAX(L18,N18)*Metodologia!$B$16</x:f>
        <x:v>117</x:v>
      </x:c>
      <x:c r="R18" s="143" t="n">
        <x:f>MIN(L18,N18)*Metodologia!$B$16</x:f>
        <x:v>78</x:v>
      </x:c>
      <x:c r="S18" s="143" t="n">
        <x:f>SQRT(K18*AVERAGE(M18,O18)*Metodologia!$B$16)</x:f>
        <x:v>98.74208829065749</x:v>
      </x:c>
      <x:c r="T18" s="82" t="str">
        <x:v>Sim</x:v>
      </x:c>
      <x:c r="U18" s="82" t="str">
        <x:v>Rankeado</x:v>
      </x:c>
      <x:c r="V18" s="82" t="str">
        <x:v>Perfil físico; melhor atributo ofensivo 90, ofensiva secundária 60, robustez relativa 64% e Speed 40. O índice privilegia dano de hunt, sem ignorar sobrevivência.</x:v>
      </x:c>
      <x:c r="W18" s="82" t="str">
        <x:v>Fica atrás de Venomoth principalmente por velocidade 55.6% menor e ofensiva secundária 7.7% menor.</x:v>
      </x:c>
      <x:c r="X18" s="82" t="str">
        <x:v>Fica à frente de Weepinbell porque possui robustez sustentada 55.9% maior e total de stats 19.2% maior.</x:v>
      </x:c>
      <x:c r="Y18" s="154" t="str">
        <x:v>https://poke.idleworld.online/pokepedia/pokemon/forretress</x:v>
      </x:c>
    </x:row>
    <x:row r="19" ht="48" customHeight="1">
      <x:c r="A19" s="82" t="n">
        <x:f>IF(U19&lt;&gt;"Rankeado","",COUNTIFS($U$5:$U$48,"Rankeado",$I$5:$I$48,"&gt;"&amp;I19)+COUNTIFS($U$5:U19,"Rankeado",$I$5:I19,I19))</x:f>
        <x:v>15</x:v>
      </x:c>
      <x:c r="B19" s="82" t="n">
        <x:f>COUNTIF($I$5:$I$48,"&gt;"&amp;I19)+COUNTIF($I$5:I19,I19)</x:f>
        <x:v>16</x:v>
      </x:c>
      <x:c r="C19" s="82" t="str">
        <x:f>IF(I19&gt;=80,"S+",IF(I19&gt;=72,"S",IF(I19&gt;=65,"A",IF(I19&gt;=58,"B",IF(I19&gt;=50,"C",IF(I19&gt;=42,"D","E"))))))</x:f>
        <x:v>C</x:v>
      </x:c>
      <x:c r="D19" s="82" t="str">
        <x:f>IF(AND(U19="Rankeado",A19&lt;=6),"Sim","Não")</x:f>
        <x:v>Não</x:v>
      </x:c>
      <x:c r="E19" s="82" t="n">
        <x:v>70</x:v>
      </x:c>
      <x:c r="F19" s="80" t="str">
        <x:v>Weepinbell</x:v>
      </x:c>
      <x:c r="G19" s="82" t="str">
        <x:v>Planta / Veneno</x:v>
      </x:c>
      <x:c r="H19" s="82" t="str">
        <x:v>Misto</x:v>
      </x:c>
      <x:c r="I19" s="142" t="n">
        <x:f>ROUND(100*(Metodologia!$B$17*(Q19/Metodologia!$B$22)+Metodologia!$B$18*(R19/Metodologia!$B$23)+Metodologia!$B$19*(S19/Metodologia!$B$24)+Metodologia!$B$20*(P19/Metodologia!$B$25)+Metodologia!$B$21*(J19/Metodologia!$B$26)),2)</x:f>
        <x:v>55.46</x:v>
      </x:c>
      <x:c r="J19" s="82" t="n">
        <x:f>SUM(K19:P19)</x:f>
        <x:v>390</x:v>
      </x:c>
      <x:c r="K19" s="82" t="n">
        <x:v>65</x:v>
      </x:c>
      <x:c r="L19" s="82" t="n">
        <x:v>90</x:v>
      </x:c>
      <x:c r="M19" s="82" t="n">
        <x:v>50</x:v>
      </x:c>
      <x:c r="N19" s="82" t="n">
        <x:v>85</x:v>
      </x:c>
      <x:c r="O19" s="82" t="n">
        <x:v>45</x:v>
      </x:c>
      <x:c r="P19" s="82" t="n">
        <x:v>55</x:v>
      </x:c>
      <x:c r="Q19" s="143" t="n">
        <x:f>MAX(L19,N19)*Metodologia!$B$16</x:f>
        <x:v>117</x:v>
      </x:c>
      <x:c r="R19" s="143" t="n">
        <x:f>MIN(L19,N19)*Metodologia!$B$16</x:f>
        <x:v>110.5</x:v>
      </x:c>
      <x:c r="S19" s="143" t="n">
        <x:f>SQRT(K19*AVERAGE(M19,O19)*Metodologia!$B$16)</x:f>
        <x:v>63.35416324125826</x:v>
      </x:c>
      <x:c r="T19" s="82" t="str">
        <x:v>Sim</x:v>
      </x:c>
      <x:c r="U19" s="82" t="str">
        <x:v>Rankeado</x:v>
      </x:c>
      <x:c r="V19" s="82" t="str">
        <x:v>Perfil misto; melhor atributo ofensivo 90, ofensiva secundária 85, robustez relativa 41% e Speed 55. O índice privilegia dano de hunt, sem ignorar sobrevivência.</x:v>
      </x:c>
      <x:c r="W19" s="82" t="str">
        <x:v>Fica atrás de Forretress principalmente por robustez sustentada 35.8% menor e total de stats 16.1% menor.</x:v>
      </x:c>
      <x:c r="X19" s="82" t="str">
        <x:v>Fica à frente de Parasect porque possui ofensiva secundária 41.7% maior e velocidade 83.3% maior.</x:v>
      </x:c>
      <x:c r="Y19" s="154" t="str">
        <x:v>https://poke.idleworld.online/pokepedia/pokemon/weepinbell</x:v>
      </x:c>
    </x:row>
    <x:row r="20" ht="48" customHeight="1">
      <x:c r="A20" s="82" t="n">
        <x:f>IF(U20&lt;&gt;"Rankeado","",COUNTIFS($U$5:$U$48,"Rankeado",$I$5:$I$48,"&gt;"&amp;I20)+COUNTIFS($U$5:U20,"Rankeado",$I$5:I20,I20))</x:f>
        <x:v>16</x:v>
      </x:c>
      <x:c r="B20" s="82" t="n">
        <x:f>COUNTIF($I$5:$I$48,"&gt;"&amp;I20)+COUNTIF($I$5:I20,I20)</x:f>
        <x:v>17</x:v>
      </x:c>
      <x:c r="C20" s="82" t="str">
        <x:f>IF(I20&gt;=80,"S+",IF(I20&gt;=72,"S",IF(I20&gt;=65,"A",IF(I20&gt;=58,"B",IF(I20&gt;=50,"C",IF(I20&gt;=42,"D","E"))))))</x:f>
        <x:v>C</x:v>
      </x:c>
      <x:c r="D20" s="82" t="str">
        <x:f>IF(AND(U20="Rankeado",A20&lt;=6),"Sim","Não")</x:f>
        <x:v>Não</x:v>
      </x:c>
      <x:c r="E20" s="82" t="n">
        <x:v>47</x:v>
      </x:c>
      <x:c r="F20" s="80" t="str">
        <x:v>Parasect</x:v>
      </x:c>
      <x:c r="G20" s="82" t="str">
        <x:v>Inseto / Planta</x:v>
      </x:c>
      <x:c r="H20" s="82" t="str">
        <x:v>Físico</x:v>
      </x:c>
      <x:c r="I20" s="142" t="n">
        <x:f>ROUND(100*(Metodologia!$B$17*(Q20/Metodologia!$B$22)+Metodologia!$B$18*(R20/Metodologia!$B$23)+Metodologia!$B$19*(S20/Metodologia!$B$24)+Metodologia!$B$20*(P20/Metodologia!$B$25)+Metodologia!$B$21*(J20/Metodologia!$B$26)),2)</x:f>
        <x:v>55.09</x:v>
      </x:c>
      <x:c r="J20" s="82" t="n">
        <x:f>SUM(K20:P20)</x:f>
        <x:v>405</x:v>
      </x:c>
      <x:c r="K20" s="82" t="n">
        <x:v>60</x:v>
      </x:c>
      <x:c r="L20" s="82" t="n">
        <x:v>95</x:v>
      </x:c>
      <x:c r="M20" s="82" t="n">
        <x:v>80</x:v>
      </x:c>
      <x:c r="N20" s="82" t="n">
        <x:v>60</x:v>
      </x:c>
      <x:c r="O20" s="82" t="n">
        <x:v>80</x:v>
      </x:c>
      <x:c r="P20" s="82" t="n">
        <x:v>30</x:v>
      </x:c>
      <x:c r="Q20" s="143" t="n">
        <x:f>MAX(L20,N20)*Metodologia!$B$16</x:f>
        <x:v>123.5</x:v>
      </x:c>
      <x:c r="R20" s="143" t="n">
        <x:f>MIN(L20,N20)*Metodologia!$B$16</x:f>
        <x:v>78</x:v>
      </x:c>
      <x:c r="S20" s="143" t="n">
        <x:f>SQRT(K20*AVERAGE(M20,O20)*Metodologia!$B$16)</x:f>
        <x:v>78.99367063252599</x:v>
      </x:c>
      <x:c r="T20" s="82" t="str">
        <x:v>Sim</x:v>
      </x:c>
      <x:c r="U20" s="82" t="str">
        <x:v>Rankeado</x:v>
      </x:c>
      <x:c r="V20" s="82" t="str">
        <x:v>Perfil físico; melhor atributo ofensivo 95, ofensiva secundária 60, robustez relativa 51% e Speed 30. O índice privilegia dano de hunt, sem ignorar sobrevivência.</x:v>
      </x:c>
      <x:c r="W20" s="82" t="str">
        <x:v>Fica atrás de Weepinbell principalmente por ofensiva secundária 29.4% menor e velocidade 45.5% menor.</x:v>
      </x:c>
      <x:c r="X20" s="82" t="str">
        <x:v>Fica à frente de Beedrill porque possui teto ofensivo 5.6% maior e ofensiva secundária 33.3% maior.</x:v>
      </x:c>
      <x:c r="Y20" s="154" t="str">
        <x:v>https://poke.idleworld.online/pokepedia/pokemon/parasect</x:v>
      </x:c>
    </x:row>
    <x:row r="21" ht="48" customHeight="1">
      <x:c r="A21" s="82" t="n">
        <x:f>IF(U21&lt;&gt;"Rankeado","",COUNTIFS($U$5:$U$48,"Rankeado",$I$5:$I$48,"&gt;"&amp;I21)+COUNTIFS($U$5:U21,"Rankeado",$I$5:I21,I21))</x:f>
        <x:v>17</x:v>
      </x:c>
      <x:c r="B21" s="82" t="n">
        <x:f>COUNTIF($I$5:$I$48,"&gt;"&amp;I21)+COUNTIF($I$5:I21,I21)</x:f>
        <x:v>18</x:v>
      </x:c>
      <x:c r="C21" s="82" t="str">
        <x:f>IF(I21&gt;=80,"S+",IF(I21&gt;=72,"S",IF(I21&gt;=65,"A",IF(I21&gt;=58,"B",IF(I21&gt;=50,"C",IF(I21&gt;=42,"D","E"))))))</x:f>
        <x:v>C</x:v>
      </x:c>
      <x:c r="D21" s="82" t="str">
        <x:f>IF(AND(U21="Rankeado",A21&lt;=6),"Sim","Não")</x:f>
        <x:v>Não</x:v>
      </x:c>
      <x:c r="E21" s="82" t="n">
        <x:v>15</x:v>
      </x:c>
      <x:c r="F21" s="80" t="str">
        <x:v>Beedrill</x:v>
      </x:c>
      <x:c r="G21" s="82" t="str">
        <x:v>Inseto / Veneno</x:v>
      </x:c>
      <x:c r="H21" s="82" t="str">
        <x:v>Físico</x:v>
      </x:c>
      <x:c r="I21" s="142" t="n">
        <x:f>ROUND(100*(Metodologia!$B$17*(Q21/Metodologia!$B$22)+Metodologia!$B$18*(R21/Metodologia!$B$23)+Metodologia!$B$19*(S21/Metodologia!$B$24)+Metodologia!$B$20*(P21/Metodologia!$B$25)+Metodologia!$B$21*(J21/Metodologia!$B$26)),2)</x:f>
        <x:v>53.95</x:v>
      </x:c>
      <x:c r="J21" s="82" t="n">
        <x:f>SUM(K21:P21)</x:f>
        <x:v>395</x:v>
      </x:c>
      <x:c r="K21" s="82" t="n">
        <x:v>65</x:v>
      </x:c>
      <x:c r="L21" s="82" t="n">
        <x:v>90</x:v>
      </x:c>
      <x:c r="M21" s="82" t="n">
        <x:v>40</x:v>
      </x:c>
      <x:c r="N21" s="82" t="n">
        <x:v>45</x:v>
      </x:c>
      <x:c r="O21" s="82" t="n">
        <x:v>80</x:v>
      </x:c>
      <x:c r="P21" s="82" t="n">
        <x:v>75</x:v>
      </x:c>
      <x:c r="Q21" s="143" t="n">
        <x:f>MAX(L21,N21)*Metodologia!$B$16</x:f>
        <x:v>117</x:v>
      </x:c>
      <x:c r="R21" s="143" t="n">
        <x:f>MIN(L21,N21)*Metodologia!$B$16</x:f>
        <x:v>58.5</x:v>
      </x:c>
      <x:c r="S21" s="143" t="n">
        <x:f>SQRT(K21*AVERAGE(M21,O21)*Metodologia!$B$16)</x:f>
        <x:v>71.20393247567159</x:v>
      </x:c>
      <x:c r="T21" s="82" t="str">
        <x:v>Sim</x:v>
      </x:c>
      <x:c r="U21" s="82" t="str">
        <x:v>Rankeado</x:v>
      </x:c>
      <x:c r="V21" s="82" t="str">
        <x:v>Perfil físico; melhor atributo ofensivo 90, ofensiva secundária 45, robustez relativa 46% e Speed 75. O índice privilegia dano de hunt, sem ignorar sobrevivência.</x:v>
      </x:c>
      <x:c r="W21" s="82" t="str">
        <x:v>Fica atrás de Parasect principalmente por teto ofensivo 5.3% menor e ofensiva secundária 25.0% menor.</x:v>
      </x:c>
      <x:c r="X21" s="82" t="str">
        <x:v>Fica à frente de Ariados porque possui velocidade 87.5% maior.</x:v>
      </x:c>
      <x:c r="Y21" s="154" t="str">
        <x:v>https://poke.idleworld.online/pokepedia/pokemon/beedrill</x:v>
      </x:c>
    </x:row>
    <x:row r="22" ht="48" customHeight="1">
      <x:c r="A22" s="82" t="n">
        <x:f>IF(U22&lt;&gt;"Rankeado","",COUNTIFS($U$5:$U$48,"Rankeado",$I$5:$I$48,"&gt;"&amp;I22)+COUNTIFS($U$5:U22,"Rankeado",$I$5:I22,I22))</x:f>
        <x:v>18</x:v>
      </x:c>
      <x:c r="B22" s="82" t="n">
        <x:f>COUNTIF($I$5:$I$48,"&gt;"&amp;I22)+COUNTIF($I$5:I22,I22)</x:f>
        <x:v>19</x:v>
      </x:c>
      <x:c r="C22" s="82" t="str">
        <x:f>IF(I22&gt;=80,"S+",IF(I22&gt;=72,"S",IF(I22&gt;=65,"A",IF(I22&gt;=58,"B",IF(I22&gt;=50,"C",IF(I22&gt;=42,"D","E"))))))</x:f>
        <x:v>C</x:v>
      </x:c>
      <x:c r="D22" s="82" t="str">
        <x:f>IF(AND(U22="Rankeado",A22&lt;=6),"Sim","Não")</x:f>
        <x:v>Não</x:v>
      </x:c>
      <x:c r="E22" s="82" t="n">
        <x:v>168</x:v>
      </x:c>
      <x:c r="F22" s="80" t="str">
        <x:v>Ariados</x:v>
      </x:c>
      <x:c r="G22" s="82" t="str">
        <x:v>Inseto / Veneno</x:v>
      </x:c>
      <x:c r="H22" s="82" t="str">
        <x:v>Físico</x:v>
      </x:c>
      <x:c r="I22" s="142" t="n">
        <x:f>ROUND(100*(Metodologia!$B$17*(Q22/Metodologia!$B$22)+Metodologia!$B$18*(R22/Metodologia!$B$23)+Metodologia!$B$19*(S22/Metodologia!$B$24)+Metodologia!$B$20*(P22/Metodologia!$B$25)+Metodologia!$B$21*(J22/Metodologia!$B$26)),2)</x:f>
        <x:v>53.85</x:v>
      </x:c>
      <x:c r="J22" s="82" t="n">
        <x:f>SUM(K22:P22)</x:f>
        <x:v>400</x:v>
      </x:c>
      <x:c r="K22" s="82" t="n">
        <x:v>70</x:v>
      </x:c>
      <x:c r="L22" s="82" t="n">
        <x:v>90</x:v>
      </x:c>
      <x:c r="M22" s="82" t="n">
        <x:v>70</x:v>
      </x:c>
      <x:c r="N22" s="82" t="n">
        <x:v>60</x:v>
      </x:c>
      <x:c r="O22" s="82" t="n">
        <x:v>70</x:v>
      </x:c>
      <x:c r="P22" s="82" t="n">
        <x:v>40</x:v>
      </x:c>
      <x:c r="Q22" s="143" t="n">
        <x:f>MAX(L22,N22)*Metodologia!$B$16</x:f>
        <x:v>117</x:v>
      </x:c>
      <x:c r="R22" s="143" t="n">
        <x:f>MIN(L22,N22)*Metodologia!$B$16</x:f>
        <x:v>78</x:v>
      </x:c>
      <x:c r="S22" s="143" t="n">
        <x:f>SQRT(K22*AVERAGE(M22,O22)*Metodologia!$B$16)</x:f>
        <x:v>79.81227975693966</x:v>
      </x:c>
      <x:c r="T22" s="82" t="str">
        <x:v>Não</x:v>
      </x:c>
      <x:c r="U22" s="82" t="str">
        <x:v>Rankeado</x:v>
      </x:c>
      <x:c r="V22" s="82" t="str">
        <x:v>Perfil físico; melhor atributo ofensivo 90, ofensiva secundária 60, robustez relativa 51% e Speed 40. O índice privilegia dano de hunt, sem ignorar sobrevivência.</x:v>
      </x:c>
      <x:c r="W22" s="82" t="str">
        <x:v>Fica atrás de Beedrill principalmente por velocidade 46.7% menor.</x:v>
      </x:c>
      <x:c r="X22" s="82" t="str">
        <x:v>Fica à frente de Butterfree porque possui ofensiva secundária 33.3% maior e robustez sustentada 12.1% maior.</x:v>
      </x:c>
      <x:c r="Y22" s="154" t="str">
        <x:v>https://poke.idleworld.online/pokepedia/pokemon/ariados</x:v>
      </x:c>
    </x:row>
    <x:row r="23" ht="48" customHeight="1">
      <x:c r="A23" s="82" t="n">
        <x:f>IF(U23&lt;&gt;"Rankeado","",COUNTIFS($U$5:$U$48,"Rankeado",$I$5:$I$48,"&gt;"&amp;I23)+COUNTIFS($U$5:U23,"Rankeado",$I$5:I23,I23))</x:f>
        <x:v>19</x:v>
      </x:c>
      <x:c r="B23" s="82" t="n">
        <x:f>COUNTIF($I$5:$I$48,"&gt;"&amp;I23)+COUNTIF($I$5:I23,I23)</x:f>
        <x:v>20</x:v>
      </x:c>
      <x:c r="C23" s="82" t="str">
        <x:f>IF(I23&gt;=80,"S+",IF(I23&gt;=72,"S",IF(I23&gt;=65,"A",IF(I23&gt;=58,"B",IF(I23&gt;=50,"C",IF(I23&gt;=42,"D","E"))))))</x:f>
        <x:v>C</x:v>
      </x:c>
      <x:c r="D23" s="82" t="str">
        <x:f>IF(AND(U23="Rankeado",A23&lt;=6),"Sim","Não")</x:f>
        <x:v>Não</x:v>
      </x:c>
      <x:c r="E23" s="82" t="n">
        <x:v>12</x:v>
      </x:c>
      <x:c r="F23" s="80" t="str">
        <x:v>Butterfree</x:v>
      </x:c>
      <x:c r="G23" s="82" t="str">
        <x:v>Inseto / Voador</x:v>
      </x:c>
      <x:c r="H23" s="82" t="str">
        <x:v>Especial</x:v>
      </x:c>
      <x:c r="I23" s="142" t="n">
        <x:f>ROUND(100*(Metodologia!$B$17*(Q23/Metodologia!$B$22)+Metodologia!$B$18*(R23/Metodologia!$B$23)+Metodologia!$B$19*(S23/Metodologia!$B$24)+Metodologia!$B$20*(P23/Metodologia!$B$25)+Metodologia!$B$21*(J23/Metodologia!$B$26)),2)</x:f>
        <x:v>53.62</x:v>
      </x:c>
      <x:c r="J23" s="82" t="n">
        <x:f>SUM(K23:P23)</x:f>
        <x:v>395</x:v>
      </x:c>
      <x:c r="K23" s="82" t="n">
        <x:v>60</x:v>
      </x:c>
      <x:c r="L23" s="82" t="n">
        <x:v>45</x:v>
      </x:c>
      <x:c r="M23" s="82" t="n">
        <x:v>50</x:v>
      </x:c>
      <x:c r="N23" s="82" t="n">
        <x:v>90</x:v>
      </x:c>
      <x:c r="O23" s="82" t="n">
        <x:v>80</x:v>
      </x:c>
      <x:c r="P23" s="82" t="n">
        <x:v>70</x:v>
      </x:c>
      <x:c r="Q23" s="143" t="n">
        <x:f>MAX(L23,N23)*Metodologia!$B$16</x:f>
        <x:v>117</x:v>
      </x:c>
      <x:c r="R23" s="143" t="n">
        <x:f>MIN(L23,N23)*Metodologia!$B$16</x:f>
        <x:v>58.5</x:v>
      </x:c>
      <x:c r="S23" s="143" t="n">
        <x:f>SQRT(K23*AVERAGE(M23,O23)*Metodologia!$B$16)</x:f>
        <x:v>71.20393247567159</x:v>
      </x:c>
      <x:c r="T23" s="82" t="str">
        <x:v>Sim</x:v>
      </x:c>
      <x:c r="U23" s="82" t="str">
        <x:v>Rankeado</x:v>
      </x:c>
      <x:c r="V23" s="82" t="str">
        <x:v>Perfil especial; melhor atributo ofensivo 90, ofensiva secundária 45, robustez relativa 46% e Speed 70. O índice privilegia dano de hunt, sem ignorar sobrevivência.</x:v>
      </x:c>
      <x:c r="W23" s="82" t="str">
        <x:v>Fica atrás de Ariados principalmente por ofensiva secundária 25.0% menor e robustez sustentada 10.8% menor.</x:v>
      </x:c>
      <x:c r="X23" s="82" t="str">
        <x:v>Fica à frente de Gloom porque possui velocidade 75.0% maior e teto ofensivo 5.9% maior.</x:v>
      </x:c>
      <x:c r="Y23" s="154" t="str">
        <x:v>https://poke.idleworld.online/pokepedia/pokemon/butterfree</x:v>
      </x:c>
    </x:row>
    <x:row r="24" ht="48" customHeight="1">
      <x:c r="A24" s="82" t="n">
        <x:f>IF(U24&lt;&gt;"Rankeado","",COUNTIFS($U$5:$U$48,"Rankeado",$I$5:$I$48,"&gt;"&amp;I24)+COUNTIFS($U$5:U24,"Rankeado",$I$5:I24,I24))</x:f>
        <x:v>20</x:v>
      </x:c>
      <x:c r="B24" s="82" t="n">
        <x:f>COUNTIF($I$5:$I$48,"&gt;"&amp;I24)+COUNTIF($I$5:I24,I24)</x:f>
        <x:v>21</x:v>
      </x:c>
      <x:c r="C24" s="82" t="str">
        <x:f>IF(I24&gt;=80,"S+",IF(I24&gt;=72,"S",IF(I24&gt;=65,"A",IF(I24&gt;=58,"B",IF(I24&gt;=50,"C",IF(I24&gt;=42,"D","E"))))))</x:f>
        <x:v>C</x:v>
      </x:c>
      <x:c r="D24" s="82" t="str">
        <x:f>IF(AND(U24="Rankeado",A24&lt;=6),"Sim","Não")</x:f>
        <x:v>Não</x:v>
      </x:c>
      <x:c r="E24" s="82" t="n">
        <x:v>44</x:v>
      </x:c>
      <x:c r="F24" s="80" t="str">
        <x:v>Gloom</x:v>
      </x:c>
      <x:c r="G24" s="82" t="str">
        <x:v>Planta / Veneno</x:v>
      </x:c>
      <x:c r="H24" s="82" t="str">
        <x:v>Especial</x:v>
      </x:c>
      <x:c r="I24" s="142" t="n">
        <x:f>ROUND(100*(Metodologia!$B$17*(Q24/Metodologia!$B$22)+Metodologia!$B$18*(R24/Metodologia!$B$23)+Metodologia!$B$19*(S24/Metodologia!$B$24)+Metodologia!$B$20*(P24/Metodologia!$B$25)+Metodologia!$B$21*(J24/Metodologia!$B$26)),2)</x:f>
        <x:v>51.87</x:v>
      </x:c>
      <x:c r="J24" s="82" t="n">
        <x:f>SUM(K24:P24)</x:f>
        <x:v>395</x:v>
      </x:c>
      <x:c r="K24" s="82" t="n">
        <x:v>60</x:v>
      </x:c>
      <x:c r="L24" s="82" t="n">
        <x:v>65</x:v>
      </x:c>
      <x:c r="M24" s="82" t="n">
        <x:v>70</x:v>
      </x:c>
      <x:c r="N24" s="82" t="n">
        <x:v>85</x:v>
      </x:c>
      <x:c r="O24" s="82" t="n">
        <x:v>75</x:v>
      </x:c>
      <x:c r="P24" s="82" t="n">
        <x:v>40</x:v>
      </x:c>
      <x:c r="Q24" s="143" t="n">
        <x:f>MAX(L24,N24)*Metodologia!$B$16</x:f>
        <x:v>110.5</x:v>
      </x:c>
      <x:c r="R24" s="143" t="n">
        <x:f>MIN(L24,N24)*Metodologia!$B$16</x:f>
        <x:v>84.5</x:v>
      </x:c>
      <x:c r="S24" s="143" t="n">
        <x:f>SQRT(K24*AVERAGE(M24,O24)*Metodologia!$B$16)</x:f>
        <x:v>75.1997340420829</x:v>
      </x:c>
      <x:c r="T24" s="82" t="str">
        <x:v>Sim</x:v>
      </x:c>
      <x:c r="U24" s="82" t="str">
        <x:v>Rankeado</x:v>
      </x:c>
      <x:c r="V24" s="82" t="str">
        <x:v>Perfil especial; melhor atributo ofensivo 85, ofensiva secundária 65, robustez relativa 49% e Speed 40. O índice privilegia dano de hunt, sem ignorar sobrevivência.</x:v>
      </x:c>
      <x:c r="W24" s="82" t="str">
        <x:v>Fica atrás de Butterfree principalmente por velocidade 42.9% menor e teto ofensivo 5.6% menor.</x:v>
      </x:c>
      <x:c r="X24" s="82" t="str">
        <x:v>Fica à frente de Ivysaur porque possui teto ofensivo 6.2% maior e ofensiva secundária 4.8% maior.</x:v>
      </x:c>
      <x:c r="Y24" s="154" t="str">
        <x:v>https://poke.idleworld.online/pokepedia/pokemon/gloom</x:v>
      </x:c>
    </x:row>
    <x:row r="25" ht="48" customHeight="1">
      <x:c r="A25" s="82" t="n">
        <x:f>IF(U25&lt;&gt;"Rankeado","",COUNTIFS($U$5:$U$48,"Rankeado",$I$5:$I$48,"&gt;"&amp;I25)+COUNTIFS($U$5:U25,"Rankeado",$I$5:I25,I25))</x:f>
        <x:v>21</x:v>
      </x:c>
      <x:c r="B25" s="82" t="n">
        <x:f>COUNTIF($I$5:$I$48,"&gt;"&amp;I25)+COUNTIF($I$5:I25,I25)</x:f>
        <x:v>22</x:v>
      </x:c>
      <x:c r="C25" s="82" t="str">
        <x:f>IF(I25&gt;=80,"S+",IF(I25&gt;=72,"S",IF(I25&gt;=65,"A",IF(I25&gt;=58,"B",IF(I25&gt;=50,"C",IF(I25&gt;=42,"D","E"))))))</x:f>
        <x:v>C</x:v>
      </x:c>
      <x:c r="D25" s="82" t="str">
        <x:f>IF(AND(U25="Rankeado",A25&lt;=6),"Sim","Não")</x:f>
        <x:v>Não</x:v>
      </x:c>
      <x:c r="E25" s="82" t="n">
        <x:v>2</x:v>
      </x:c>
      <x:c r="F25" s="80" t="str">
        <x:v>Ivysaur</x:v>
      </x:c>
      <x:c r="G25" s="82" t="str">
        <x:v>Planta / Veneno</x:v>
      </x:c>
      <x:c r="H25" s="82" t="str">
        <x:v>Especial</x:v>
      </x:c>
      <x:c r="I25" s="142" t="n">
        <x:f>ROUND(100*(Metodologia!$B$17*(Q25/Metodologia!$B$22)+Metodologia!$B$18*(R25/Metodologia!$B$23)+Metodologia!$B$19*(S25/Metodologia!$B$24)+Metodologia!$B$20*(P25/Metodologia!$B$25)+Metodologia!$B$21*(J25/Metodologia!$B$26)),2)</x:f>
        <x:v>51.01</x:v>
      </x:c>
      <x:c r="J25" s="82" t="n">
        <x:f>SUM(K25:P25)</x:f>
        <x:v>405</x:v>
      </x:c>
      <x:c r="K25" s="82" t="n">
        <x:v>60</x:v>
      </x:c>
      <x:c r="L25" s="82" t="n">
        <x:v>62</x:v>
      </x:c>
      <x:c r="M25" s="82" t="n">
        <x:v>63</x:v>
      </x:c>
      <x:c r="N25" s="82" t="n">
        <x:v>80</x:v>
      </x:c>
      <x:c r="O25" s="82" t="n">
        <x:v>80</x:v>
      </x:c>
      <x:c r="P25" s="82" t="n">
        <x:v>60</x:v>
      </x:c>
      <x:c r="Q25" s="143" t="n">
        <x:f>MAX(L25,N25)*Metodologia!$B$16</x:f>
        <x:v>104</x:v>
      </x:c>
      <x:c r="R25" s="143" t="n">
        <x:f>MIN(L25,N25)*Metodologia!$B$16</x:f>
        <x:v>80.60000000000001</x:v>
      </x:c>
      <x:c r="S25" s="143" t="n">
        <x:f>SQRT(K25*AVERAGE(M25,O25)*Metodologia!$B$16)</x:f>
        <x:v>74.67931440499437</x:v>
      </x:c>
      <x:c r="T25" s="82" t="str">
        <x:v>Sim</x:v>
      </x:c>
      <x:c r="U25" s="82" t="str">
        <x:v>Rankeado</x:v>
      </x:c>
      <x:c r="V25" s="82" t="str">
        <x:v>Perfil especial; melhor atributo ofensivo 80, ofensiva secundária 62, robustez relativa 48% e Speed 60. O índice privilegia dano de hunt, sem ignorar sobrevivência.</x:v>
      </x:c>
      <x:c r="W25" s="82" t="str">
        <x:v>Fica atrás de Gloom principalmente por teto ofensivo 5.9% menor e ofensiva secundária 4.6% menor.</x:v>
      </x:c>
      <x:c r="X25" s="82" t="str">
        <x:v>Fica à frente de Yanma porque possui teto ofensivo 6.7% maior e robustez sustentada 21.1% maior.</x:v>
      </x:c>
      <x:c r="Y25" s="154" t="str">
        <x:v>https://poke.idleworld.online/pokepedia/pokemon/ivysaur</x:v>
      </x:c>
    </x:row>
    <x:row r="26" ht="48" customHeight="1">
      <x:c r="A26" s="82" t="n">
        <x:f>IF(U26&lt;&gt;"Rankeado","",COUNTIFS($U$5:$U$48,"Rankeado",$I$5:$I$48,"&gt;"&amp;I26)+COUNTIFS($U$5:U26,"Rankeado",$I$5:I26,I26))</x:f>
        <x:v>22</x:v>
      </x:c>
      <x:c r="B26" s="82" t="n">
        <x:f>COUNTIF($I$5:$I$48,"&gt;"&amp;I26)+COUNTIF($I$5:I26,I26)</x:f>
        <x:v>23</x:v>
      </x:c>
      <x:c r="C26" s="82" t="str">
        <x:f>IF(I26&gt;=80,"S+",IF(I26&gt;=72,"S",IF(I26&gt;=65,"A",IF(I26&gt;=58,"B",IF(I26&gt;=50,"C",IF(I26&gt;=42,"D","E"))))))</x:f>
        <x:v>C</x:v>
      </x:c>
      <x:c r="D26" s="82" t="str">
        <x:f>IF(AND(U26="Rankeado",A26&lt;=6),"Sim","Não")</x:f>
        <x:v>Não</x:v>
      </x:c>
      <x:c r="E26" s="82" t="n">
        <x:v>193</x:v>
      </x:c>
      <x:c r="F26" s="80" t="str">
        <x:v>Yanma</x:v>
      </x:c>
      <x:c r="G26" s="82" t="str">
        <x:v>Inseto / Voador</x:v>
      </x:c>
      <x:c r="H26" s="82" t="str">
        <x:v>Misto</x:v>
      </x:c>
      <x:c r="I26" s="142" t="n">
        <x:f>ROUND(100*(Metodologia!$B$17*(Q26/Metodologia!$B$22)+Metodologia!$B$18*(R26/Metodologia!$B$23)+Metodologia!$B$19*(S26/Metodologia!$B$24)+Metodologia!$B$20*(P26/Metodologia!$B$25)+Metodologia!$B$21*(J26/Metodologia!$B$26)),2)</x:f>
        <x:v>50.3</x:v>
      </x:c>
      <x:c r="J26" s="82" t="n">
        <x:f>SUM(K26:P26)</x:f>
        <x:v>390</x:v>
      </x:c>
      <x:c r="K26" s="82" t="n">
        <x:v>65</x:v>
      </x:c>
      <x:c r="L26" s="82" t="n">
        <x:v>65</x:v>
      </x:c>
      <x:c r="M26" s="82" t="n">
        <x:v>45</x:v>
      </x:c>
      <x:c r="N26" s="82" t="n">
        <x:v>75</x:v>
      </x:c>
      <x:c r="O26" s="82" t="n">
        <x:v>45</x:v>
      </x:c>
      <x:c r="P26" s="82" t="n">
        <x:v>95</x:v>
      </x:c>
      <x:c r="Q26" s="143" t="n">
        <x:f>MAX(L26,N26)*Metodologia!$B$16</x:f>
        <x:v>97.5</x:v>
      </x:c>
      <x:c r="R26" s="143" t="n">
        <x:f>MIN(L26,N26)*Metodologia!$B$16</x:f>
        <x:v>84.5</x:v>
      </x:c>
      <x:c r="S26" s="143" t="n">
        <x:f>SQRT(K26*AVERAGE(M26,O26)*Metodologia!$B$16)</x:f>
        <x:v>61.6644143732834</x:v>
      </x:c>
      <x:c r="T26" s="82" t="str">
        <x:v>Não</x:v>
      </x:c>
      <x:c r="U26" s="82" t="str">
        <x:v>Rankeado</x:v>
      </x:c>
      <x:c r="V26" s="82" t="str">
        <x:v>Perfil misto; melhor atributo ofensivo 75, ofensiva secundária 65, robustez relativa 40% e Speed 95. O índice privilegia dano de hunt, sem ignorar sobrevivência.</x:v>
      </x:c>
      <x:c r="W26" s="82" t="str">
        <x:v>Fica atrás de Ivysaur principalmente por teto ofensivo 6.2% menor e robustez sustentada 17.4% menor.</x:v>
      </x:c>
      <x:c r="X26" s="82" t="str">
        <x:v>Fica à frente de Jumpluff porque possui teto ofensivo 36.4% maior e ofensiva secundária 18.2% maior.</x:v>
      </x:c>
      <x:c r="Y26" s="154" t="str">
        <x:v>https://poke.idleworld.online/pokepedia/pokemon/yanma</x:v>
      </x:c>
    </x:row>
    <x:row r="27" ht="48" customHeight="1">
      <x:c r="A27" s="82" t="n">
        <x:f>IF(U27&lt;&gt;"Rankeado","",COUNTIFS($U$5:$U$48,"Rankeado",$I$5:$I$48,"&gt;"&amp;I27)+COUNTIFS($U$5:U27,"Rankeado",$I$5:I27,I27))</x:f>
        <x:v>23</x:v>
      </x:c>
      <x:c r="B27" s="82" t="n">
        <x:f>COUNTIF($I$5:$I$48,"&gt;"&amp;I27)+COUNTIF($I$5:I27,I27)</x:f>
        <x:v>24</x:v>
      </x:c>
      <x:c r="C27" s="82" t="str">
        <x:f>IF(I27&gt;=80,"S+",IF(I27&gt;=72,"S",IF(I27&gt;=65,"A",IF(I27&gt;=58,"B",IF(I27&gt;=50,"C",IF(I27&gt;=42,"D","E"))))))</x:f>
        <x:v>D</x:v>
      </x:c>
      <x:c r="D27" s="82" t="str">
        <x:f>IF(AND(U27="Rankeado",A27&lt;=6),"Sim","Não")</x:f>
        <x:v>Não</x:v>
      </x:c>
      <x:c r="E27" s="82" t="n">
        <x:v>189</x:v>
      </x:c>
      <x:c r="F27" s="80" t="str">
        <x:v>Jumpluff</x:v>
      </x:c>
      <x:c r="G27" s="82" t="str">
        <x:v>Planta / Voador</x:v>
      </x:c>
      <x:c r="H27" s="82" t="str">
        <x:v>Misto</x:v>
      </x:c>
      <x:c r="I27" s="142" t="n">
        <x:f>ROUND(100*(Metodologia!$B$17*(Q27/Metodologia!$B$22)+Metodologia!$B$18*(R27/Metodologia!$B$23)+Metodologia!$B$19*(S27/Metodologia!$B$24)+Metodologia!$B$20*(P27/Metodologia!$B$25)+Metodologia!$B$21*(J27/Metodologia!$B$26)),2)</x:f>
        <x:v>45.82</x:v>
      </x:c>
      <x:c r="J27" s="82" t="n">
        <x:f>SUM(K27:P27)</x:f>
        <x:v>460</x:v>
      </x:c>
      <x:c r="K27" s="82" t="n">
        <x:v>75</x:v>
      </x:c>
      <x:c r="L27" s="82" t="n">
        <x:v>55</x:v>
      </x:c>
      <x:c r="M27" s="82" t="n">
        <x:v>70</x:v>
      </x:c>
      <x:c r="N27" s="82" t="n">
        <x:v>55</x:v>
      </x:c>
      <x:c r="O27" s="82" t="n">
        <x:v>95</x:v>
      </x:c>
      <x:c r="P27" s="82" t="n">
        <x:v>110</x:v>
      </x:c>
      <x:c r="Q27" s="143" t="n">
        <x:f>MAX(L27,N27)*Metodologia!$B$16</x:f>
        <x:v>71.5</x:v>
      </x:c>
      <x:c r="R27" s="143" t="n">
        <x:f>MIN(L27,N27)*Metodologia!$B$16</x:f>
        <x:v>71.5</x:v>
      </x:c>
      <x:c r="S27" s="143" t="n">
        <x:f>SQRT(K27*AVERAGE(M27,O27)*Metodologia!$B$16)</x:f>
        <x:v>89.68695557326049</x:v>
      </x:c>
      <x:c r="T27" s="82" t="str">
        <x:v>Não</x:v>
      </x:c>
      <x:c r="U27" s="82" t="str">
        <x:v>Rankeado</x:v>
      </x:c>
      <x:c r="V27" s="82" t="str">
        <x:v>Perfil misto; melhor atributo ofensivo 55, ofensiva secundária 55, robustez relativa 58% e Speed 110. O índice privilegia dano de hunt, sem ignorar sobrevivência.</x:v>
      </x:c>
      <x:c r="W27" s="82" t="str">
        <x:v>Fica atrás de Yanma principalmente por teto ofensivo 26.7% menor e ofensiva secundária 15.4% menor.</x:v>
      </x:c>
      <x:c r="X27" s="82" t="str">
        <x:v>Fica à frente de Bellsprout porque possui velocidade 175.0% maior e robustez sustentada 95.1% maior.</x:v>
      </x:c>
      <x:c r="Y27" s="154" t="str">
        <x:v>https://poke.idleworld.online/pokepedia/pokemon/jumpluff</x:v>
      </x:c>
    </x:row>
    <x:row r="28" ht="48" customHeight="1">
      <x:c r="A28" s="82" t="n">
        <x:f>IF(U28&lt;&gt;"Rankeado","",COUNTIFS($U$5:$U$48,"Rankeado",$I$5:$I$48,"&gt;"&amp;I28)+COUNTIFS($U$5:U28,"Rankeado",$I$5:I28,I28))</x:f>
        <x:v>24</x:v>
      </x:c>
      <x:c r="B28" s="82" t="n">
        <x:f>COUNTIF($I$5:$I$48,"&gt;"&amp;I28)+COUNTIF($I$5:I28,I28)</x:f>
        <x:v>25</x:v>
      </x:c>
      <x:c r="C28" s="82" t="str">
        <x:f>IF(I28&gt;=80,"S+",IF(I28&gt;=72,"S",IF(I28&gt;=65,"A",IF(I28&gt;=58,"B",IF(I28&gt;=50,"C",IF(I28&gt;=42,"D","E"))))))</x:f>
        <x:v>D</x:v>
      </x:c>
      <x:c r="D28" s="82" t="str">
        <x:f>IF(AND(U28="Rankeado",A28&lt;=6),"Sim","Não")</x:f>
        <x:v>Não</x:v>
      </x:c>
      <x:c r="E28" s="82" t="n">
        <x:v>69</x:v>
      </x:c>
      <x:c r="F28" s="80" t="str">
        <x:v>Bellsprout</x:v>
      </x:c>
      <x:c r="G28" s="82" t="str">
        <x:v>Planta / Veneno</x:v>
      </x:c>
      <x:c r="H28" s="82" t="str">
        <x:v>Misto</x:v>
      </x:c>
      <x:c r="I28" s="142" t="n">
        <x:f>ROUND(100*(Metodologia!$B$17*(Q28/Metodologia!$B$22)+Metodologia!$B$18*(R28/Metodologia!$B$23)+Metodologia!$B$19*(S28/Metodologia!$B$24)+Metodologia!$B$20*(P28/Metodologia!$B$25)+Metodologia!$B$21*(J28/Metodologia!$B$26)),2)</x:f>
        <x:v>44.9</x:v>
      </x:c>
      <x:c r="J28" s="82" t="n">
        <x:f>SUM(K28:P28)</x:f>
        <x:v>300</x:v>
      </x:c>
      <x:c r="K28" s="82" t="n">
        <x:v>50</x:v>
      </x:c>
      <x:c r="L28" s="82" t="n">
        <x:v>75</x:v>
      </x:c>
      <x:c r="M28" s="82" t="n">
        <x:v>35</x:v>
      </x:c>
      <x:c r="N28" s="82" t="n">
        <x:v>70</x:v>
      </x:c>
      <x:c r="O28" s="82" t="n">
        <x:v>30</x:v>
      </x:c>
      <x:c r="P28" s="82" t="n">
        <x:v>40</x:v>
      </x:c>
      <x:c r="Q28" s="143" t="n">
        <x:f>MAX(L28,N28)*Metodologia!$B$16</x:f>
        <x:v>97.5</x:v>
      </x:c>
      <x:c r="R28" s="143" t="n">
        <x:f>MIN(L28,N28)*Metodologia!$B$16</x:f>
        <x:v>91</x:v>
      </x:c>
      <x:c r="S28" s="143" t="n">
        <x:f>SQRT(K28*AVERAGE(M28,O28)*Metodologia!$B$16)</x:f>
        <x:v>45.96194077712559</x:v>
      </x:c>
      <x:c r="T28" s="82" t="str">
        <x:v>Sim</x:v>
      </x:c>
      <x:c r="U28" s="82" t="str">
        <x:v>Rankeado</x:v>
      </x:c>
      <x:c r="V28" s="82" t="str">
        <x:v>Perfil misto; melhor atributo ofensivo 75, ofensiva secundária 70, robustez relativa 30% e Speed 40. O índice privilegia dano de hunt, sem ignorar sobrevivência.</x:v>
      </x:c>
      <x:c r="W28" s="82" t="str">
        <x:v>Fica atrás de Jumpluff principalmente por velocidade 63.6% menor e robustez sustentada 48.8% menor.</x:v>
      </x:c>
      <x:c r="X28" s="82" t="str">
        <x:v>Fica à frente de Bayleef porque possui teto ofensivo 19.0% maior e ofensiva secundária 12.9% maior.</x:v>
      </x:c>
      <x:c r="Y28" s="154" t="str">
        <x:v>https://poke.idleworld.online/pokepedia/pokemon/bellsprout</x:v>
      </x:c>
    </x:row>
    <x:row r="29" ht="48" customHeight="1">
      <x:c r="A29" s="82" t="n">
        <x:f>IF(U29&lt;&gt;"Rankeado","",COUNTIFS($U$5:$U$48,"Rankeado",$I$5:$I$48,"&gt;"&amp;I29)+COUNTIFS($U$5:U29,"Rankeado",$I$5:I29,I29))</x:f>
        <x:v>25</x:v>
      </x:c>
      <x:c r="B29" s="82" t="n">
        <x:f>COUNTIF($I$5:$I$48,"&gt;"&amp;I29)+COUNTIF($I$5:I29,I29)</x:f>
        <x:v>26</x:v>
      </x:c>
      <x:c r="C29" s="82" t="str">
        <x:f>IF(I29&gt;=80,"S+",IF(I29&gt;=72,"S",IF(I29&gt;=65,"A",IF(I29&gt;=58,"B",IF(I29&gt;=50,"C",IF(I29&gt;=42,"D","E"))))))</x:f>
        <x:v>D</x:v>
      </x:c>
      <x:c r="D29" s="82" t="str">
        <x:f>IF(AND(U29="Rankeado",A29&lt;=6),"Sim","Não")</x:f>
        <x:v>Não</x:v>
      </x:c>
      <x:c r="E29" s="82" t="n">
        <x:v>153</x:v>
      </x:c>
      <x:c r="F29" s="80" t="str">
        <x:v>Bayleef</x:v>
      </x:c>
      <x:c r="G29" s="82" t="str">
        <x:v>Planta</x:v>
      </x:c>
      <x:c r="H29" s="82" t="str">
        <x:v>Misto</x:v>
      </x:c>
      <x:c r="I29" s="142" t="n">
        <x:f>ROUND(100*(Metodologia!$B$17*(Q29/Metodologia!$B$22)+Metodologia!$B$18*(R29/Metodologia!$B$23)+Metodologia!$B$19*(S29/Metodologia!$B$24)+Metodologia!$B$20*(P29/Metodologia!$B$25)+Metodologia!$B$21*(J29/Metodologia!$B$26)),2)</x:f>
        <x:v>44.8</x:v>
      </x:c>
      <x:c r="J29" s="82" t="n">
        <x:f>SUM(K29:P29)</x:f>
        <x:v>405</x:v>
      </x:c>
      <x:c r="K29" s="82" t="n">
        <x:v>60</x:v>
      </x:c>
      <x:c r="L29" s="82" t="n">
        <x:v>62</x:v>
      </x:c>
      <x:c r="M29" s="82" t="n">
        <x:v>80</x:v>
      </x:c>
      <x:c r="N29" s="82" t="n">
        <x:v>63</x:v>
      </x:c>
      <x:c r="O29" s="82" t="n">
        <x:v>80</x:v>
      </x:c>
      <x:c r="P29" s="82" t="n">
        <x:v>60</x:v>
      </x:c>
      <x:c r="Q29" s="143" t="n">
        <x:f>MAX(L29,N29)*Metodologia!$B$16</x:f>
        <x:v>81.9</x:v>
      </x:c>
      <x:c r="R29" s="143" t="n">
        <x:f>MIN(L29,N29)*Metodologia!$B$16</x:f>
        <x:v>80.60000000000001</x:v>
      </x:c>
      <x:c r="S29" s="143" t="n">
        <x:f>SQRT(K29*AVERAGE(M29,O29)*Metodologia!$B$16)</x:f>
        <x:v>78.99367063252599</x:v>
      </x:c>
      <x:c r="T29" s="82" t="str">
        <x:v>Sim</x:v>
      </x:c>
      <x:c r="U29" s="82" t="str">
        <x:v>Rankeado</x:v>
      </x:c>
      <x:c r="V29" s="82" t="str">
        <x:v>Perfil misto; melhor atributo ofensivo 63, ofensiva secundária 62, robustez relativa 51% e Speed 60. O índice privilegia dano de hunt, sem ignorar sobrevivência.</x:v>
      </x:c>
      <x:c r="W29" s="82" t="str">
        <x:v>Fica atrás de Bellsprout principalmente por teto ofensivo 16.0% menor e ofensiva secundária 11.4% menor.</x:v>
      </x:c>
      <x:c r="X29" s="82" t="str">
        <x:v>Fica à frente de Oddish porque possui velocidade 100.0% maior e robustez sustentada 33.3% maior.</x:v>
      </x:c>
      <x:c r="Y29" s="154" t="str">
        <x:v>https://poke.idleworld.online/pokepedia/pokemon/bayleef</x:v>
      </x:c>
    </x:row>
    <x:row r="30" ht="48" customHeight="1">
      <x:c r="A30" s="82" t="n">
        <x:f>IF(U30&lt;&gt;"Rankeado","",COUNTIFS($U$5:$U$48,"Rankeado",$I$5:$I$48,"&gt;"&amp;I30)+COUNTIFS($U$5:U30,"Rankeado",$I$5:I30,I30))</x:f>
        <x:v>26</x:v>
      </x:c>
      <x:c r="B30" s="82" t="n">
        <x:f>COUNTIF($I$5:$I$48,"&gt;"&amp;I30)+COUNTIF($I$5:I30,I30)</x:f>
        <x:v>27</x:v>
      </x:c>
      <x:c r="C30" s="82" t="str">
        <x:f>IF(I30&gt;=80,"S+",IF(I30&gt;=72,"S",IF(I30&gt;=65,"A",IF(I30&gt;=58,"B",IF(I30&gt;=50,"C",IF(I30&gt;=42,"D","E"))))))</x:f>
        <x:v>D</x:v>
      </x:c>
      <x:c r="D30" s="82" t="str">
        <x:f>IF(AND(U30="Rankeado",A30&lt;=6),"Sim","Não")</x:f>
        <x:v>Não</x:v>
      </x:c>
      <x:c r="E30" s="82" t="n">
        <x:v>43</x:v>
      </x:c>
      <x:c r="F30" s="80" t="str">
        <x:v>Oddish</x:v>
      </x:c>
      <x:c r="G30" s="82" t="str">
        <x:v>Planta / Veneno</x:v>
      </x:c>
      <x:c r="H30" s="82" t="str">
        <x:v>Especial</x:v>
      </x:c>
      <x:c r="I30" s="142" t="n">
        <x:f>ROUND(100*(Metodologia!$B$17*(Q30/Metodologia!$B$22)+Metodologia!$B$18*(R30/Metodologia!$B$23)+Metodologia!$B$19*(S30/Metodologia!$B$24)+Metodologia!$B$20*(P30/Metodologia!$B$25)+Metodologia!$B$21*(J30/Metodologia!$B$26)),2)</x:f>
        <x:v>43.85</x:v>
      </x:c>
      <x:c r="J30" s="82" t="n">
        <x:f>SUM(K30:P30)</x:f>
        <x:v>320</x:v>
      </x:c>
      <x:c r="K30" s="82" t="n">
        <x:v>45</x:v>
      </x:c>
      <x:c r="L30" s="82" t="n">
        <x:v>50</x:v>
      </x:c>
      <x:c r="M30" s="82" t="n">
        <x:v>55</x:v>
      </x:c>
      <x:c r="N30" s="82" t="n">
        <x:v>75</x:v>
      </x:c>
      <x:c r="O30" s="82" t="n">
        <x:v>65</x:v>
      </x:c>
      <x:c r="P30" s="82" t="n">
        <x:v>30</x:v>
      </x:c>
      <x:c r="Q30" s="143" t="n">
        <x:f>MAX(L30,N30)*Metodologia!$B$16</x:f>
        <x:v>97.5</x:v>
      </x:c>
      <x:c r="R30" s="143" t="n">
        <x:f>MIN(L30,N30)*Metodologia!$B$16</x:f>
        <x:v>65</x:v>
      </x:c>
      <x:c r="S30" s="143" t="n">
        <x:f>SQRT(K30*AVERAGE(M30,O30)*Metodologia!$B$16)</x:f>
        <x:v>59.2452529743945</x:v>
      </x:c>
      <x:c r="T30" s="82" t="str">
        <x:v>Sim</x:v>
      </x:c>
      <x:c r="U30" s="82" t="str">
        <x:v>Rankeado</x:v>
      </x:c>
      <x:c r="V30" s="82" t="str">
        <x:v>Perfil especial; melhor atributo ofensivo 75, ofensiva secundária 50, robustez relativa 38% e Speed 30. O índice privilegia dano de hunt, sem ignorar sobrevivência.</x:v>
      </x:c>
      <x:c r="W30" s="82" t="str">
        <x:v>Fica atrás de Bayleef principalmente por velocidade 50.0% menor e robustez sustentada 25.0% menor.</x:v>
      </x:c>
      <x:c r="X30" s="82" t="str">
        <x:v>Fica à frente de Bulbasaur porque possui teto ofensivo 15.4% maior e robustez sustentada 2.6% maior.</x:v>
      </x:c>
      <x:c r="Y30" s="154" t="str">
        <x:v>https://poke.idleworld.online/pokepedia/pokemon/oddish</x:v>
      </x:c>
    </x:row>
    <x:row r="31" ht="48" customHeight="1">
      <x:c r="A31" s="82" t="n">
        <x:f>IF(U31&lt;&gt;"Rankeado","",COUNTIFS($U$5:$U$48,"Rankeado",$I$5:$I$48,"&gt;"&amp;I31)+COUNTIFS($U$5:U31,"Rankeado",$I$5:I31,I31))</x:f>
        <x:v>27</x:v>
      </x:c>
      <x:c r="B31" s="82" t="n">
        <x:f>COUNTIF($I$5:$I$48,"&gt;"&amp;I31)+COUNTIF($I$5:I31,I31)</x:f>
        <x:v>28</x:v>
      </x:c>
      <x:c r="C31" s="82" t="str">
        <x:f>IF(I31&gt;=80,"S+",IF(I31&gt;=72,"S",IF(I31&gt;=65,"A",IF(I31&gt;=58,"B",IF(I31&gt;=50,"C",IF(I31&gt;=42,"D","E"))))))</x:f>
        <x:v>E</x:v>
      </x:c>
      <x:c r="D31" s="82" t="str">
        <x:f>IF(AND(U31="Rankeado",A31&lt;=6),"Sim","Não")</x:f>
        <x:v>Não</x:v>
      </x:c>
      <x:c r="E31" s="82" t="n">
        <x:v>1</x:v>
      </x:c>
      <x:c r="F31" s="80" t="str">
        <x:v>Bulbasaur</x:v>
      </x:c>
      <x:c r="G31" s="82" t="str">
        <x:v>Planta / Veneno</x:v>
      </x:c>
      <x:c r="H31" s="82" t="str">
        <x:v>Especial</x:v>
      </x:c>
      <x:c r="I31" s="142" t="n">
        <x:f>ROUND(100*(Metodologia!$B$17*(Q31/Metodologia!$B$22)+Metodologia!$B$18*(R31/Metodologia!$B$23)+Metodologia!$B$19*(S31/Metodologia!$B$24)+Metodologia!$B$20*(P31/Metodologia!$B$25)+Metodologia!$B$21*(J31/Metodologia!$B$26)),2)</x:f>
        <x:v>40.7</x:v>
      </x:c>
      <x:c r="J31" s="82" t="n">
        <x:f>SUM(K31:P31)</x:f>
        <x:v>318</x:v>
      </x:c>
      <x:c r="K31" s="82" t="n">
        <x:v>45</x:v>
      </x:c>
      <x:c r="L31" s="82" t="n">
        <x:v>49</x:v>
      </x:c>
      <x:c r="M31" s="82" t="n">
        <x:v>49</x:v>
      </x:c>
      <x:c r="N31" s="82" t="n">
        <x:v>65</x:v>
      </x:c>
      <x:c r="O31" s="82" t="n">
        <x:v>65</x:v>
      </x:c>
      <x:c r="P31" s="82" t="n">
        <x:v>45</x:v>
      </x:c>
      <x:c r="Q31" s="143" t="n">
        <x:f>MAX(L31,N31)*Metodologia!$B$16</x:f>
        <x:v>84.5</x:v>
      </x:c>
      <x:c r="R31" s="143" t="n">
        <x:f>MIN(L31,N31)*Metodologia!$B$16</x:f>
        <x:v>63.7</x:v>
      </x:c>
      <x:c r="S31" s="143" t="n">
        <x:f>SQRT(K31*AVERAGE(M31,O31)*Metodologia!$B$16)</x:f>
        <x:v>57.745129664760476</x:v>
      </x:c>
      <x:c r="T31" s="82" t="str">
        <x:v>Sim</x:v>
      </x:c>
      <x:c r="U31" s="82" t="str">
        <x:v>Rankeado</x:v>
      </x:c>
      <x:c r="V31" s="82" t="str">
        <x:v>Perfil especial; melhor atributo ofensivo 65, ofensiva secundária 49, robustez relativa 37% e Speed 45. O índice privilegia dano de hunt, sem ignorar sobrevivência.</x:v>
      </x:c>
      <x:c r="W31" s="82" t="str">
        <x:v>Fica atrás de Oddish principalmente por teto ofensivo 13.3% menor e robustez sustentada 2.5% menor.</x:v>
      </x:c>
      <x:c r="X31" s="82" t="str">
        <x:v>Fica à frente de Ledian porque possui teto ofensivo 18.2% maior e ofensiva secundária 40.0% maior.</x:v>
      </x:c>
      <x:c r="Y31" s="154" t="str">
        <x:v>https://poke.idleworld.online/pokepedia/pokemon/bulbasaur</x:v>
      </x:c>
    </x:row>
    <x:row r="32" ht="48" customHeight="1">
      <x:c r="A32" s="82" t="n">
        <x:f>IF(U32&lt;&gt;"Rankeado","",COUNTIFS($U$5:$U$48,"Rankeado",$I$5:$I$48,"&gt;"&amp;I32)+COUNTIFS($U$5:U32,"Rankeado",$I$5:I32,I32))</x:f>
        <x:v>28</x:v>
      </x:c>
      <x:c r="B32" s="82" t="n">
        <x:f>COUNTIF($I$5:$I$48,"&gt;"&amp;I32)+COUNTIF($I$5:I32,I32)</x:f>
        <x:v>29</x:v>
      </x:c>
      <x:c r="C32" s="82" t="str">
        <x:f>IF(I32&gt;=80,"S+",IF(I32&gt;=72,"S",IF(I32&gt;=65,"A",IF(I32&gt;=58,"B",IF(I32&gt;=50,"C",IF(I32&gt;=42,"D","E"))))))</x:f>
        <x:v>E</x:v>
      </x:c>
      <x:c r="D32" s="82" t="str">
        <x:f>IF(AND(U32="Rankeado",A32&lt;=6),"Sim","Não")</x:f>
        <x:v>Não</x:v>
      </x:c>
      <x:c r="E32" s="82" t="n">
        <x:v>166</x:v>
      </x:c>
      <x:c r="F32" s="80" t="str">
        <x:v>Ledian</x:v>
      </x:c>
      <x:c r="G32" s="82" t="str">
        <x:v>Inseto / Voador</x:v>
      </x:c>
      <x:c r="H32" s="82" t="str">
        <x:v>Especial</x:v>
      </x:c>
      <x:c r="I32" s="142" t="n">
        <x:f>ROUND(100*(Metodologia!$B$17*(Q32/Metodologia!$B$22)+Metodologia!$B$18*(R32/Metodologia!$B$23)+Metodologia!$B$19*(S32/Metodologia!$B$24)+Metodologia!$B$20*(P32/Metodologia!$B$25)+Metodologia!$B$21*(J32/Metodologia!$B$26)),2)</x:f>
        <x:v>40.46</x:v>
      </x:c>
      <x:c r="J32" s="82" t="n">
        <x:f>SUM(K32:P32)</x:f>
        <x:v>390</x:v>
      </x:c>
      <x:c r="K32" s="82" t="n">
        <x:v>55</x:v>
      </x:c>
      <x:c r="L32" s="82" t="n">
        <x:v>35</x:v>
      </x:c>
      <x:c r="M32" s="82" t="n">
        <x:v>50</x:v>
      </x:c>
      <x:c r="N32" s="82" t="n">
        <x:v>55</x:v>
      </x:c>
      <x:c r="O32" s="82" t="n">
        <x:v>110</x:v>
      </x:c>
      <x:c r="P32" s="82" t="n">
        <x:v>85</x:v>
      </x:c>
      <x:c r="Q32" s="143" t="n">
        <x:f>MAX(L32,N32)*Metodologia!$B$16</x:f>
        <x:v>71.5</x:v>
      </x:c>
      <x:c r="R32" s="143" t="n">
        <x:f>MIN(L32,N32)*Metodologia!$B$16</x:f>
        <x:v>45.5</x:v>
      </x:c>
      <x:c r="S32" s="143" t="n">
        <x:f>SQRT(K32*AVERAGE(M32,O32)*Metodologia!$B$16)</x:f>
        <x:v>75.63068160475615</x:v>
      </x:c>
      <x:c r="T32" s="82" t="str">
        <x:v>Não</x:v>
      </x:c>
      <x:c r="U32" s="82" t="str">
        <x:v>Rankeado</x:v>
      </x:c>
      <x:c r="V32" s="82" t="str">
        <x:v>Perfil especial; melhor atributo ofensivo 55, ofensiva secundária 35, robustez relativa 49% e Speed 85. O índice privilegia dano de hunt, sem ignorar sobrevivência.</x:v>
      </x:c>
      <x:c r="W32" s="82" t="str">
        <x:v>Fica atrás de Bulbasaur principalmente por teto ofensivo 15.4% menor e ofensiva secundária 28.6% menor.</x:v>
      </x:c>
      <x:c r="X32" s="82" t="str">
        <x:v>Fica à frente de Paras porque possui velocidade 240.0% maior e robustez sustentada 51.2% maior.</x:v>
      </x:c>
      <x:c r="Y32" s="154" t="str">
        <x:v>https://poke.idleworld.online/pokepedia/pokemon/ledian</x:v>
      </x:c>
    </x:row>
    <x:row r="33" ht="48" customHeight="1">
      <x:c r="A33" s="82" t="n">
        <x:f>IF(U33&lt;&gt;"Rankeado","",COUNTIFS($U$5:$U$48,"Rankeado",$I$5:$I$48,"&gt;"&amp;I33)+COUNTIFS($U$5:U33,"Rankeado",$I$5:I33,I33))</x:f>
        <x:v>29</x:v>
      </x:c>
      <x:c r="B33" s="82" t="n">
        <x:f>COUNTIF($I$5:$I$48,"&gt;"&amp;I33)+COUNTIF($I$5:I33,I33)</x:f>
        <x:v>30</x:v>
      </x:c>
      <x:c r="C33" s="82" t="str">
        <x:f>IF(I33&gt;=80,"S+",IF(I33&gt;=72,"S",IF(I33&gt;=65,"A",IF(I33&gt;=58,"B",IF(I33&gt;=50,"C",IF(I33&gt;=42,"D","E"))))))</x:f>
        <x:v>E</x:v>
      </x:c>
      <x:c r="D33" s="82" t="str">
        <x:f>IF(AND(U33="Rankeado",A33&lt;=6),"Sim","Não")</x:f>
        <x:v>Não</x:v>
      </x:c>
      <x:c r="E33" s="82" t="n">
        <x:v>46</x:v>
      </x:c>
      <x:c r="F33" s="80" t="str">
        <x:v>Paras</x:v>
      </x:c>
      <x:c r="G33" s="82" t="str">
        <x:v>Inseto / Planta</x:v>
      </x:c>
      <x:c r="H33" s="82" t="str">
        <x:v>Físico</x:v>
      </x:c>
      <x:c r="I33" s="142" t="n">
        <x:f>ROUND(100*(Metodologia!$B$17*(Q33/Metodologia!$B$22)+Metodologia!$B$18*(R33/Metodologia!$B$23)+Metodologia!$B$19*(S33/Metodologia!$B$24)+Metodologia!$B$20*(P33/Metodologia!$B$25)+Metodologia!$B$21*(J33/Metodologia!$B$26)),2)</x:f>
        <x:v>39.97</x:v>
      </x:c>
      <x:c r="J33" s="82" t="n">
        <x:f>SUM(K33:P33)</x:f>
        <x:v>285</x:v>
      </x:c>
      <x:c r="K33" s="82" t="n">
        <x:v>35</x:v>
      </x:c>
      <x:c r="L33" s="82" t="n">
        <x:v>70</x:v>
      </x:c>
      <x:c r="M33" s="82" t="n">
        <x:v>55</x:v>
      </x:c>
      <x:c r="N33" s="82" t="n">
        <x:v>45</x:v>
      </x:c>
      <x:c r="O33" s="82" t="n">
        <x:v>55</x:v>
      </x:c>
      <x:c r="P33" s="82" t="n">
        <x:v>25</x:v>
      </x:c>
      <x:c r="Q33" s="143" t="n">
        <x:f>MAX(L33,N33)*Metodologia!$B$16</x:f>
        <x:v>91</x:v>
      </x:c>
      <x:c r="R33" s="143" t="n">
        <x:f>MIN(L33,N33)*Metodologia!$B$16</x:f>
        <x:v>58.5</x:v>
      </x:c>
      <x:c r="S33" s="143" t="n">
        <x:f>SQRT(K33*AVERAGE(M33,O33)*Metodologia!$B$16)</x:f>
        <x:v>50.02499375312305</x:v>
      </x:c>
      <x:c r="T33" s="82" t="str">
        <x:v>Sim</x:v>
      </x:c>
      <x:c r="U33" s="82" t="str">
        <x:v>Rankeado</x:v>
      </x:c>
      <x:c r="V33" s="82" t="str">
        <x:v>Perfil físico; melhor atributo ofensivo 70, ofensiva secundária 45, robustez relativa 32% e Speed 25. O índice privilegia dano de hunt, sem ignorar sobrevivência.</x:v>
      </x:c>
      <x:c r="W33" s="82" t="str">
        <x:v>Fica atrás de Ledian principalmente por velocidade 70.6% menor e robustez sustentada 33.9% menor.</x:v>
      </x:c>
      <x:c r="X33" s="82" t="str">
        <x:v>Fica à frente de Exeggcute porque possui teto ofensivo 16.7% maior e ofensiva secundária 12.5% maior.</x:v>
      </x:c>
      <x:c r="Y33" s="154" t="str">
        <x:v>https://poke.idleworld.online/pokepedia/pokemon/paras</x:v>
      </x:c>
    </x:row>
    <x:row r="34" ht="48" customHeight="1">
      <x:c r="A34" s="82" t="n">
        <x:f>IF(U34&lt;&gt;"Rankeado","",COUNTIFS($U$5:$U$48,"Rankeado",$I$5:$I$48,"&gt;"&amp;I34)+COUNTIFS($U$5:U34,"Rankeado",$I$5:I34,I34))</x:f>
        <x:v>30</x:v>
      </x:c>
      <x:c r="B34" s="82" t="n">
        <x:f>COUNTIF($I$5:$I$48,"&gt;"&amp;I34)+COUNTIF($I$5:I34,I34)</x:f>
        <x:v>31</x:v>
      </x:c>
      <x:c r="C34" s="82" t="str">
        <x:f>IF(I34&gt;=80,"S+",IF(I34&gt;=72,"S",IF(I34&gt;=65,"A",IF(I34&gt;=58,"B",IF(I34&gt;=50,"C",IF(I34&gt;=42,"D","E"))))))</x:f>
        <x:v>E</x:v>
      </x:c>
      <x:c r="D34" s="82" t="str">
        <x:f>IF(AND(U34="Rankeado",A34&lt;=6),"Sim","Não")</x:f>
        <x:v>Não</x:v>
      </x:c>
      <x:c r="E34" s="82" t="n">
        <x:v>102</x:v>
      </x:c>
      <x:c r="F34" s="80" t="str">
        <x:v>Exeggcute</x:v>
      </x:c>
      <x:c r="G34" s="82" t="str">
        <x:v>Planta / Psíquico</x:v>
      </x:c>
      <x:c r="H34" s="82" t="str">
        <x:v>Especial</x:v>
      </x:c>
      <x:c r="I34" s="142" t="n">
        <x:f>ROUND(100*(Metodologia!$B$17*(Q34/Metodologia!$B$22)+Metodologia!$B$18*(R34/Metodologia!$B$23)+Metodologia!$B$19*(S34/Metodologia!$B$24)+Metodologia!$B$20*(P34/Metodologia!$B$25)+Metodologia!$B$21*(J34/Metodologia!$B$26)),2)</x:f>
        <x:v>38.83</x:v>
      </x:c>
      <x:c r="J34" s="82" t="n">
        <x:f>SUM(K34:P34)</x:f>
        <x:v>325</x:v>
      </x:c>
      <x:c r="K34" s="82" t="n">
        <x:v>60</x:v>
      </x:c>
      <x:c r="L34" s="82" t="n">
        <x:v>40</x:v>
      </x:c>
      <x:c r="M34" s="82" t="n">
        <x:v>80</x:v>
      </x:c>
      <x:c r="N34" s="82" t="n">
        <x:v>60</x:v>
      </x:c>
      <x:c r="O34" s="82" t="n">
        <x:v>45</x:v>
      </x:c>
      <x:c r="P34" s="82" t="n">
        <x:v>40</x:v>
      </x:c>
      <x:c r="Q34" s="143" t="n">
        <x:f>MAX(L34,N34)*Metodologia!$B$16</x:f>
        <x:v>78</x:v>
      </x:c>
      <x:c r="R34" s="143" t="n">
        <x:f>MIN(L34,N34)*Metodologia!$B$16</x:f>
        <x:v>52</x:v>
      </x:c>
      <x:c r="S34" s="143" t="n">
        <x:f>SQRT(K34*AVERAGE(M34,O34)*Metodologia!$B$16)</x:f>
        <x:v>69.82120021884471</x:v>
      </x:c>
      <x:c r="T34" s="82" t="str">
        <x:v>Sim</x:v>
      </x:c>
      <x:c r="U34" s="82" t="str">
        <x:v>Rankeado</x:v>
      </x:c>
      <x:c r="V34" s="82" t="str">
        <x:v>Perfil especial; melhor atributo ofensivo 60, ofensiva secundária 40, robustez relativa 45% e Speed 40. O índice privilegia dano de hunt, sem ignorar sobrevivência.</x:v>
      </x:c>
      <x:c r="W34" s="82" t="str">
        <x:v>Fica atrás de Paras principalmente por teto ofensivo 14.3% menor e ofensiva secundária 11.1% menor.</x:v>
      </x:c>
      <x:c r="X34" s="82" t="str">
        <x:v>Fica à frente de Pineco porque possui velocidade 166.7% maior e robustez sustentada 9.5% maior.</x:v>
      </x:c>
      <x:c r="Y34" s="154" t="str">
        <x:v>https://poke.idleworld.online/pokepedia/pokemon/exeggcute</x:v>
      </x:c>
    </x:row>
    <x:row r="35" ht="48" customHeight="1">
      <x:c r="A35" s="82" t="n">
        <x:f>IF(U35&lt;&gt;"Rankeado","",COUNTIFS($U$5:$U$48,"Rankeado",$I$5:$I$48,"&gt;"&amp;I35)+COUNTIFS($U$5:U35,"Rankeado",$I$5:I35,I35))</x:f>
        <x:v>31</x:v>
      </x:c>
      <x:c r="B35" s="82" t="n">
        <x:f>COUNTIF($I$5:$I$48,"&gt;"&amp;I35)+COUNTIF($I$5:I35,I35)</x:f>
        <x:v>32</x:v>
      </x:c>
      <x:c r="C35" s="82" t="str">
        <x:f>IF(I35&gt;=80,"S+",IF(I35&gt;=72,"S",IF(I35&gt;=65,"A",IF(I35&gt;=58,"B",IF(I35&gt;=50,"C",IF(I35&gt;=42,"D","E"))))))</x:f>
        <x:v>E</x:v>
      </x:c>
      <x:c r="D35" s="82" t="str">
        <x:f>IF(AND(U35="Rankeado",A35&lt;=6),"Sim","Não")</x:f>
        <x:v>Não</x:v>
      </x:c>
      <x:c r="E35" s="82" t="n">
        <x:v>204</x:v>
      </x:c>
      <x:c r="F35" s="80" t="str">
        <x:v>Pineco</x:v>
      </x:c>
      <x:c r="G35" s="82" t="str">
        <x:v>Inseto</x:v>
      </x:c>
      <x:c r="H35" s="82" t="str">
        <x:v>Físico</x:v>
      </x:c>
      <x:c r="I35" s="142" t="n">
        <x:f>ROUND(100*(Metodologia!$B$17*(Q35/Metodologia!$B$22)+Metodologia!$B$18*(R35/Metodologia!$B$23)+Metodologia!$B$19*(S35/Metodologia!$B$24)+Metodologia!$B$20*(P35/Metodologia!$B$25)+Metodologia!$B$21*(J35/Metodologia!$B$26)),2)</x:f>
        <x:v>37.81</x:v>
      </x:c>
      <x:c r="J35" s="82" t="n">
        <x:f>SUM(K35:P35)</x:f>
        <x:v>290</x:v>
      </x:c>
      <x:c r="K35" s="82" t="n">
        <x:v>50</x:v>
      </x:c>
      <x:c r="L35" s="82" t="n">
        <x:v>65</x:v>
      </x:c>
      <x:c r="M35" s="82" t="n">
        <x:v>90</x:v>
      </x:c>
      <x:c r="N35" s="82" t="n">
        <x:v>35</x:v>
      </x:c>
      <x:c r="O35" s="82" t="n">
        <x:v>35</x:v>
      </x:c>
      <x:c r="P35" s="82" t="n">
        <x:v>15</x:v>
      </x:c>
      <x:c r="Q35" s="143" t="n">
        <x:f>MAX(L35,N35)*Metodologia!$B$16</x:f>
        <x:v>84.5</x:v>
      </x:c>
      <x:c r="R35" s="143" t="n">
        <x:f>MIN(L35,N35)*Metodologia!$B$16</x:f>
        <x:v>45.5</x:v>
      </x:c>
      <x:c r="S35" s="143" t="n">
        <x:f>SQRT(K35*AVERAGE(M35,O35)*Metodologia!$B$16)</x:f>
        <x:v>63.73774391990981</x:v>
      </x:c>
      <x:c r="T35" s="82" t="str">
        <x:v>Sim</x:v>
      </x:c>
      <x:c r="U35" s="82" t="str">
        <x:v>Rankeado</x:v>
      </x:c>
      <x:c r="V35" s="82" t="str">
        <x:v>Perfil físico; melhor atributo ofensivo 65, ofensiva secundária 35, robustez relativa 41% e Speed 15. O índice privilegia dano de hunt, sem ignorar sobrevivência.</x:v>
      </x:c>
      <x:c r="W35" s="82" t="str">
        <x:v>Fica atrás de Exeggcute principalmente por velocidade 62.5% menor e robustez sustentada 8.7% menor.</x:v>
      </x:c>
      <x:c r="X35" s="82" t="str">
        <x:v>Fica à frente de Venonat porque possui teto ofensivo 18.2% maior.</x:v>
      </x:c>
      <x:c r="Y35" s="154" t="str">
        <x:v>https://poke.idleworld.online/pokepedia/pokemon/pineco</x:v>
      </x:c>
    </x:row>
    <x:row r="36" ht="48" customHeight="1">
      <x:c r="A36" s="82" t="n">
        <x:f>IF(U36&lt;&gt;"Rankeado","",COUNTIFS($U$5:$U$48,"Rankeado",$I$5:$I$48,"&gt;"&amp;I36)+COUNTIFS($U$5:U36,"Rankeado",$I$5:I36,I36))</x:f>
        <x:v>32</x:v>
      </x:c>
      <x:c r="B36" s="82" t="n">
        <x:f>COUNTIF($I$5:$I$48,"&gt;"&amp;I36)+COUNTIF($I$5:I36,I36)</x:f>
        <x:v>33</x:v>
      </x:c>
      <x:c r="C36" s="82" t="str">
        <x:f>IF(I36&gt;=80,"S+",IF(I36&gt;=72,"S",IF(I36&gt;=65,"A",IF(I36&gt;=58,"B",IF(I36&gt;=50,"C",IF(I36&gt;=42,"D","E"))))))</x:f>
        <x:v>E</x:v>
      </x:c>
      <x:c r="D36" s="82" t="str">
        <x:f>IF(AND(U36="Rankeado",A36&lt;=6),"Sim","Não")</x:f>
        <x:v>Não</x:v>
      </x:c>
      <x:c r="E36" s="82" t="n">
        <x:v>48</x:v>
      </x:c>
      <x:c r="F36" s="80" t="str">
        <x:v>Venonat</x:v>
      </x:c>
      <x:c r="G36" s="82" t="str">
        <x:v>Inseto / Veneno</x:v>
      </x:c>
      <x:c r="H36" s="82" t="str">
        <x:v>Físico</x:v>
      </x:c>
      <x:c r="I36" s="142" t="n">
        <x:f>ROUND(100*(Metodologia!$B$17*(Q36/Metodologia!$B$22)+Metodologia!$B$18*(R36/Metodologia!$B$23)+Metodologia!$B$19*(S36/Metodologia!$B$24)+Metodologia!$B$20*(P36/Metodologia!$B$25)+Metodologia!$B$21*(J36/Metodologia!$B$26)),2)</x:f>
        <x:v>36.5</x:v>
      </x:c>
      <x:c r="J36" s="82" t="n">
        <x:f>SUM(K36:P36)</x:f>
        <x:v>305</x:v>
      </x:c>
      <x:c r="K36" s="82" t="n">
        <x:v>60</x:v>
      </x:c>
      <x:c r="L36" s="82" t="n">
        <x:v>55</x:v>
      </x:c>
      <x:c r="M36" s="82" t="n">
        <x:v>50</x:v>
      </x:c>
      <x:c r="N36" s="82" t="n">
        <x:v>40</x:v>
      </x:c>
      <x:c r="O36" s="82" t="n">
        <x:v>55</x:v>
      </x:c>
      <x:c r="P36" s="82" t="n">
        <x:v>45</x:v>
      </x:c>
      <x:c r="Q36" s="143" t="n">
        <x:f>MAX(L36,N36)*Metodologia!$B$16</x:f>
        <x:v>71.5</x:v>
      </x:c>
      <x:c r="R36" s="143" t="n">
        <x:f>MIN(L36,N36)*Metodologia!$B$16</x:f>
        <x:v>52</x:v>
      </x:c>
      <x:c r="S36" s="143" t="n">
        <x:f>SQRT(K36*AVERAGE(M36,O36)*Metodologia!$B$16)</x:f>
        <x:v>63.99218702310463</x:v>
      </x:c>
      <x:c r="T36" s="82" t="str">
        <x:v>Sim</x:v>
      </x:c>
      <x:c r="U36" s="82" t="str">
        <x:v>Rankeado</x:v>
      </x:c>
      <x:c r="V36" s="82" t="str">
        <x:v>Perfil físico; melhor atributo ofensivo 55, ofensiva secundária 40, robustez relativa 41% e Speed 45. O índice privilegia dano de hunt, sem ignorar sobrevivência.</x:v>
      </x:c>
      <x:c r="W36" s="82" t="str">
        <x:v>Fica atrás de Pineco principalmente por teto ofensivo 15.4% menor.</x:v>
      </x:c>
      <x:c r="X36" s="82" t="str">
        <x:v>Fica à frente de Skiploom porque possui teto ofensivo 22.2% maior.</x:v>
      </x:c>
      <x:c r="Y36" s="154" t="str">
        <x:v>https://poke.idleworld.online/pokepedia/pokemon/venonat</x:v>
      </x:c>
    </x:row>
    <x:row r="37" ht="48" customHeight="1">
      <x:c r="A37" s="82" t="n">
        <x:f>IF(U37&lt;&gt;"Rankeado","",COUNTIFS($U$5:$U$48,"Rankeado",$I$5:$I$48,"&gt;"&amp;I37)+COUNTIFS($U$5:U37,"Rankeado",$I$5:I37,I37))</x:f>
        <x:v>33</x:v>
      </x:c>
      <x:c r="B37" s="82" t="n">
        <x:f>COUNTIF($I$5:$I$48,"&gt;"&amp;I37)+COUNTIF($I$5:I37,I37)</x:f>
        <x:v>34</x:v>
      </x:c>
      <x:c r="C37" s="82" t="str">
        <x:f>IF(I37&gt;=80,"S+",IF(I37&gt;=72,"S",IF(I37&gt;=65,"A",IF(I37&gt;=58,"B",IF(I37&gt;=50,"C",IF(I37&gt;=42,"D","E"))))))</x:f>
        <x:v>E</x:v>
      </x:c>
      <x:c r="D37" s="82" t="str">
        <x:f>IF(AND(U37="Rankeado",A37&lt;=6),"Sim","Não")</x:f>
        <x:v>Não</x:v>
      </x:c>
      <x:c r="E37" s="82" t="n">
        <x:v>188</x:v>
      </x:c>
      <x:c r="F37" s="80" t="str">
        <x:v>Skiploom</x:v>
      </x:c>
      <x:c r="G37" s="82" t="str">
        <x:v>Planta / Voador</x:v>
      </x:c>
      <x:c r="H37" s="82" t="str">
        <x:v>Misto</x:v>
      </x:c>
      <x:c r="I37" s="142" t="n">
        <x:f>ROUND(100*(Metodologia!$B$17*(Q37/Metodologia!$B$22)+Metodologia!$B$18*(R37/Metodologia!$B$23)+Metodologia!$B$19*(S37/Metodologia!$B$24)+Metodologia!$B$20*(P37/Metodologia!$B$25)+Metodologia!$B$21*(J37/Metodologia!$B$26)),2)</x:f>
        <x:v>35.66</x:v>
      </x:c>
      <x:c r="J37" s="82" t="n">
        <x:f>SUM(K37:P37)</x:f>
        <x:v>340</x:v>
      </x:c>
      <x:c r="K37" s="82" t="n">
        <x:v>55</x:v>
      </x:c>
      <x:c r="L37" s="82" t="n">
        <x:v>45</x:v>
      </x:c>
      <x:c r="M37" s="82" t="n">
        <x:v>50</x:v>
      </x:c>
      <x:c r="N37" s="82" t="n">
        <x:v>45</x:v>
      </x:c>
      <x:c r="O37" s="82" t="n">
        <x:v>65</x:v>
      </x:c>
      <x:c r="P37" s="82" t="n">
        <x:v>80</x:v>
      </x:c>
      <x:c r="Q37" s="143" t="n">
        <x:f>MAX(L37,N37)*Metodologia!$B$16</x:f>
        <x:v>58.5</x:v>
      </x:c>
      <x:c r="R37" s="143" t="n">
        <x:f>MIN(L37,N37)*Metodologia!$B$16</x:f>
        <x:v>58.5</x:v>
      </x:c>
      <x:c r="S37" s="143" t="n">
        <x:f>SQRT(K37*AVERAGE(M37,O37)*Metodologia!$B$16)</x:f>
        <x:v>64.1190299365173</x:v>
      </x:c>
      <x:c r="T37" s="82" t="str">
        <x:v>Não</x:v>
      </x:c>
      <x:c r="U37" s="82" t="str">
        <x:v>Rankeado</x:v>
      </x:c>
      <x:c r="V37" s="82" t="str">
        <x:v>Perfil misto; melhor atributo ofensivo 45, ofensiva secundária 45, robustez relativa 41% e Speed 80. O índice privilegia dano de hunt, sem ignorar sobrevivência.</x:v>
      </x:c>
      <x:c r="W37" s="82" t="str">
        <x:v>Fica atrás de Venonat principalmente por teto ofensivo 18.2% menor.</x:v>
      </x:c>
      <x:c r="X37" s="82" t="str">
        <x:v>Fica à frente de Spinarak porque possui velocidade 166.7% maior e robustez sustentada 40.6% maior.</x:v>
      </x:c>
      <x:c r="Y37" s="154" t="str">
        <x:v>https://poke.idleworld.online/pokepedia/pokemon/skiploom</x:v>
      </x:c>
    </x:row>
    <x:row r="38" ht="48" customHeight="1">
      <x:c r="A38" s="82" t="n">
        <x:f>IF(U38&lt;&gt;"Rankeado","",COUNTIFS($U$5:$U$48,"Rankeado",$I$5:$I$48,"&gt;"&amp;I38)+COUNTIFS($U$5:U38,"Rankeado",$I$5:I38,I38))</x:f>
        <x:v>34</x:v>
      </x:c>
      <x:c r="B38" s="82" t="n">
        <x:f>COUNTIF($I$5:$I$48,"&gt;"&amp;I38)+COUNTIF($I$5:I38,I38)</x:f>
        <x:v>35</x:v>
      </x:c>
      <x:c r="C38" s="82" t="str">
        <x:f>IF(I38&gt;=80,"S+",IF(I38&gt;=72,"S",IF(I38&gt;=65,"A",IF(I38&gt;=58,"B",IF(I38&gt;=50,"C",IF(I38&gt;=42,"D","E"))))))</x:f>
        <x:v>E</x:v>
      </x:c>
      <x:c r="D38" s="82" t="str">
        <x:f>IF(AND(U38="Rankeado",A38&lt;=6),"Sim","Não")</x:f>
        <x:v>Não</x:v>
      </x:c>
      <x:c r="E38" s="82" t="n">
        <x:v>167</x:v>
      </x:c>
      <x:c r="F38" s="80" t="str">
        <x:v>Spinarak</x:v>
      </x:c>
      <x:c r="G38" s="82" t="str">
        <x:v>Inseto / Veneno</x:v>
      </x:c>
      <x:c r="H38" s="82" t="str">
        <x:v>Físico</x:v>
      </x:c>
      <x:c r="I38" s="142" t="n">
        <x:f>ROUND(100*(Metodologia!$B$17*(Q38/Metodologia!$B$22)+Metodologia!$B$18*(R38/Metodologia!$B$23)+Metodologia!$B$19*(S38/Metodologia!$B$24)+Metodologia!$B$20*(P38/Metodologia!$B$25)+Metodologia!$B$21*(J38/Metodologia!$B$26)),2)</x:f>
        <x:v>35.26</x:v>
      </x:c>
      <x:c r="J38" s="82" t="n">
        <x:f>SUM(K38:P38)</x:f>
        <x:v>250</x:v>
      </x:c>
      <x:c r="K38" s="82" t="n">
        <x:v>40</x:v>
      </x:c>
      <x:c r="L38" s="82" t="n">
        <x:v>60</x:v>
      </x:c>
      <x:c r="M38" s="82" t="n">
        <x:v>40</x:v>
      </x:c>
      <x:c r="N38" s="82" t="n">
        <x:v>40</x:v>
      </x:c>
      <x:c r="O38" s="82" t="n">
        <x:v>40</x:v>
      </x:c>
      <x:c r="P38" s="82" t="n">
        <x:v>30</x:v>
      </x:c>
      <x:c r="Q38" s="143" t="n">
        <x:f>MAX(L38,N38)*Metodologia!$B$16</x:f>
        <x:v>78</x:v>
      </x:c>
      <x:c r="R38" s="143" t="n">
        <x:f>MIN(L38,N38)*Metodologia!$B$16</x:f>
        <x:v>52</x:v>
      </x:c>
      <x:c r="S38" s="143" t="n">
        <x:f>SQRT(K38*AVERAGE(M38,O38)*Metodologia!$B$16)</x:f>
        <x:v>45.60701700396552</x:v>
      </x:c>
      <x:c r="T38" s="82" t="str">
        <x:v>Não</x:v>
      </x:c>
      <x:c r="U38" s="82" t="str">
        <x:v>Rankeado</x:v>
      </x:c>
      <x:c r="V38" s="82" t="str">
        <x:v>Perfil físico; melhor atributo ofensivo 60, ofensiva secundária 40, robustez relativa 29% e Speed 30. O índice privilegia dano de hunt, sem ignorar sobrevivência.</x:v>
      </x:c>
      <x:c r="W38" s="82" t="str">
        <x:v>Fica atrás de Skiploom principalmente por velocidade 62.5% menor e robustez sustentada 28.9% menor.</x:v>
      </x:c>
      <x:c r="X38" s="82" t="str">
        <x:v>Fica à frente de Chikorita porque possui teto ofensivo 22.4% maior.</x:v>
      </x:c>
      <x:c r="Y38" s="154" t="str">
        <x:v>https://poke.idleworld.online/pokepedia/pokemon/spinarak</x:v>
      </x:c>
    </x:row>
    <x:row r="39" ht="48" customHeight="1">
      <x:c r="A39" s="82" t="n">
        <x:f>IF(U39&lt;&gt;"Rankeado","",COUNTIFS($U$5:$U$48,"Rankeado",$I$5:$I$48,"&gt;"&amp;I39)+COUNTIFS($U$5:U39,"Rankeado",$I$5:I39,I39))</x:f>
        <x:v>35</x:v>
      </x:c>
      <x:c r="B39" s="82" t="n">
        <x:f>COUNTIF($I$5:$I$48,"&gt;"&amp;I39)+COUNTIF($I$5:I39,I39)</x:f>
        <x:v>36</x:v>
      </x:c>
      <x:c r="C39" s="82" t="str">
        <x:f>IF(I39&gt;=80,"S+",IF(I39&gt;=72,"S",IF(I39&gt;=65,"A",IF(I39&gt;=58,"B",IF(I39&gt;=50,"C",IF(I39&gt;=42,"D","E"))))))</x:f>
        <x:v>E</x:v>
      </x:c>
      <x:c r="D39" s="82" t="str">
        <x:f>IF(AND(U39="Rankeado",A39&lt;=6),"Sim","Não")</x:f>
        <x:v>Não</x:v>
      </x:c>
      <x:c r="E39" s="82" t="n">
        <x:v>152</x:v>
      </x:c>
      <x:c r="F39" s="80" t="str">
        <x:v>Chikorita</x:v>
      </x:c>
      <x:c r="G39" s="82" t="str">
        <x:v>Planta</x:v>
      </x:c>
      <x:c r="H39" s="82" t="str">
        <x:v>Misto</x:v>
      </x:c>
      <x:c r="I39" s="142" t="n">
        <x:f>ROUND(100*(Metodologia!$B$17*(Q39/Metodologia!$B$22)+Metodologia!$B$18*(R39/Metodologia!$B$23)+Metodologia!$B$19*(S39/Metodologia!$B$24)+Metodologia!$B$20*(P39/Metodologia!$B$25)+Metodologia!$B$21*(J39/Metodologia!$B$26)),2)</x:f>
        <x:v>34.85</x:v>
      </x:c>
      <x:c r="J39" s="82" t="n">
        <x:f>SUM(K39:P39)</x:f>
        <x:v>318</x:v>
      </x:c>
      <x:c r="K39" s="82" t="n">
        <x:v>45</x:v>
      </x:c>
      <x:c r="L39" s="82" t="n">
        <x:v>49</x:v>
      </x:c>
      <x:c r="M39" s="82" t="n">
        <x:v>65</x:v>
      </x:c>
      <x:c r="N39" s="82" t="n">
        <x:v>49</x:v>
      </x:c>
      <x:c r="O39" s="82" t="n">
        <x:v>65</x:v>
      </x:c>
      <x:c r="P39" s="82" t="n">
        <x:v>45</x:v>
      </x:c>
      <x:c r="Q39" s="143" t="n">
        <x:f>MAX(L39,N39)*Metodologia!$B$16</x:f>
        <x:v>63.7</x:v>
      </x:c>
      <x:c r="R39" s="143" t="n">
        <x:f>MIN(L39,N39)*Metodologia!$B$16</x:f>
        <x:v>63.7</x:v>
      </x:c>
      <x:c r="S39" s="143" t="n">
        <x:f>SQRT(K39*AVERAGE(M39,O39)*Metodologia!$B$16)</x:f>
        <x:v>61.6644143732834</x:v>
      </x:c>
      <x:c r="T39" s="82" t="str">
        <x:v>Sim</x:v>
      </x:c>
      <x:c r="U39" s="82" t="str">
        <x:v>Rankeado</x:v>
      </x:c>
      <x:c r="V39" s="82" t="str">
        <x:v>Perfil misto; melhor atributo ofensivo 49, ofensiva secundária 49, robustez relativa 40% e Speed 45. O índice privilegia dano de hunt, sem ignorar sobrevivência.</x:v>
      </x:c>
      <x:c r="W39" s="82" t="str">
        <x:v>Fica atrás de Spinarak principalmente por teto ofensivo 18.3% menor.</x:v>
      </x:c>
      <x:c r="X39" s="82" t="str">
        <x:v>Fica à frente de Ledyba porque possui teto ofensivo 22.5% maior e ofensiva secundária 145.0% maior.</x:v>
      </x:c>
      <x:c r="Y39" s="154" t="str">
        <x:v>https://poke.idleworld.online/pokepedia/pokemon/chikorita</x:v>
      </x:c>
    </x:row>
    <x:row r="40" ht="48" customHeight="1">
      <x:c r="A40" s="82" t="n">
        <x:f>IF(U40&lt;&gt;"Rankeado","",COUNTIFS($U$5:$U$48,"Rankeado",$I$5:$I$48,"&gt;"&amp;I40)+COUNTIFS($U$5:U40,"Rankeado",$I$5:I40,I40))</x:f>
        <x:v>36</x:v>
      </x:c>
      <x:c r="B40" s="82" t="n">
        <x:f>COUNTIF($I$5:$I$48,"&gt;"&amp;I40)+COUNTIF($I$5:I40,I40)</x:f>
        <x:v>37</x:v>
      </x:c>
      <x:c r="C40" s="82" t="str">
        <x:f>IF(I40&gt;=80,"S+",IF(I40&gt;=72,"S",IF(I40&gt;=65,"A",IF(I40&gt;=58,"B",IF(I40&gt;=50,"C",IF(I40&gt;=42,"D","E"))))))</x:f>
        <x:v>E</x:v>
      </x:c>
      <x:c r="D40" s="82" t="str">
        <x:f>IF(AND(U40="Rankeado",A40&lt;=6),"Sim","Não")</x:f>
        <x:v>Não</x:v>
      </x:c>
      <x:c r="E40" s="82" t="n">
        <x:v>165</x:v>
      </x:c>
      <x:c r="F40" s="80" t="str">
        <x:v>Ledyba</x:v>
      </x:c>
      <x:c r="G40" s="82" t="str">
        <x:v>Inseto / Voador</x:v>
      </x:c>
      <x:c r="H40" s="82" t="str">
        <x:v>Especial</x:v>
      </x:c>
      <x:c r="I40" s="142" t="n">
        <x:f>ROUND(100*(Metodologia!$B$17*(Q40/Metodologia!$B$22)+Metodologia!$B$18*(R40/Metodologia!$B$23)+Metodologia!$B$19*(S40/Metodologia!$B$24)+Metodologia!$B$20*(P40/Metodologia!$B$25)+Metodologia!$B$21*(J40/Metodologia!$B$26)),2)</x:f>
        <x:v>28.19</x:v>
      </x:c>
      <x:c r="J40" s="82" t="n">
        <x:f>SUM(K40:P40)</x:f>
        <x:v>265</x:v>
      </x:c>
      <x:c r="K40" s="82" t="n">
        <x:v>40</x:v>
      </x:c>
      <x:c r="L40" s="82" t="n">
        <x:v>20</x:v>
      </x:c>
      <x:c r="M40" s="82" t="n">
        <x:v>30</x:v>
      </x:c>
      <x:c r="N40" s="82" t="n">
        <x:v>40</x:v>
      </x:c>
      <x:c r="O40" s="82" t="n">
        <x:v>80</x:v>
      </x:c>
      <x:c r="P40" s="82" t="n">
        <x:v>55</x:v>
      </x:c>
      <x:c r="Q40" s="143" t="n">
        <x:f>MAX(L40,N40)*Metodologia!$B$16</x:f>
        <x:v>52</x:v>
      </x:c>
      <x:c r="R40" s="143" t="n">
        <x:f>MIN(L40,N40)*Metodologia!$B$16</x:f>
        <x:v>26</x:v>
      </x:c>
      <x:c r="S40" s="143" t="n">
        <x:f>SQRT(K40*AVERAGE(M40,O40)*Metodologia!$B$16)</x:f>
        <x:v>53.47896782848375</x:v>
      </x:c>
      <x:c r="T40" s="82" t="str">
        <x:v>Não</x:v>
      </x:c>
      <x:c r="U40" s="82" t="str">
        <x:v>Rankeado</x:v>
      </x:c>
      <x:c r="V40" s="82" t="str">
        <x:v>Perfil especial; melhor atributo ofensivo 40, ofensiva secundária 20, robustez relativa 34% e Speed 55. O índice privilegia dano de hunt, sem ignorar sobrevivência.</x:v>
      </x:c>
      <x:c r="W40" s="82" t="str">
        <x:v>Fica atrás de Chikorita principalmente por teto ofensivo 18.4% menor e ofensiva secundária 59.2% menor.</x:v>
      </x:c>
      <x:c r="X40" s="82" t="str">
        <x:v>Fica à frente de Hoppip porque possui teto ofensivo 14.3% maior e robustez sustentada 15.0% maior.</x:v>
      </x:c>
      <x:c r="Y40" s="154" t="str">
        <x:v>https://poke.idleworld.online/pokepedia/pokemon/ledyba</x:v>
      </x:c>
    </x:row>
    <x:row r="41" ht="48" customHeight="1">
      <x:c r="A41" s="82" t="n">
        <x:f>IF(U41&lt;&gt;"Rankeado","",COUNTIFS($U$5:$U$48,"Rankeado",$I$5:$I$48,"&gt;"&amp;I41)+COUNTIFS($U$5:U41,"Rankeado",$I$5:I41,I41))</x:f>
        <x:v>37</x:v>
      </x:c>
      <x:c r="B41" s="82" t="n">
        <x:f>COUNTIF($I$5:$I$48,"&gt;"&amp;I41)+COUNTIF($I$5:I41,I41)</x:f>
        <x:v>38</x:v>
      </x:c>
      <x:c r="C41" s="82" t="str">
        <x:f>IF(I41&gt;=80,"S+",IF(I41&gt;=72,"S",IF(I41&gt;=65,"A",IF(I41&gt;=58,"B",IF(I41&gt;=50,"C",IF(I41&gt;=42,"D","E"))))))</x:f>
        <x:v>E</x:v>
      </x:c>
      <x:c r="D41" s="82" t="str">
        <x:f>IF(AND(U41="Rankeado",A41&lt;=6),"Sim","Não")</x:f>
        <x:v>Não</x:v>
      </x:c>
      <x:c r="E41" s="82" t="n">
        <x:v>187</x:v>
      </x:c>
      <x:c r="F41" s="80" t="str">
        <x:v>Hoppip</x:v>
      </x:c>
      <x:c r="G41" s="82" t="str">
        <x:v>Planta / Voador</x:v>
      </x:c>
      <x:c r="H41" s="82" t="str">
        <x:v>Misto</x:v>
      </x:c>
      <x:c r="I41" s="142" t="n">
        <x:f>ROUND(100*(Metodologia!$B$17*(Q41/Metodologia!$B$22)+Metodologia!$B$18*(R41/Metodologia!$B$23)+Metodologia!$B$19*(S41/Metodologia!$B$24)+Metodologia!$B$20*(P41/Metodologia!$B$25)+Metodologia!$B$21*(J41/Metodologia!$B$26)),2)</x:f>
        <x:v>26.49</x:v>
      </x:c>
      <x:c r="J41" s="82" t="n">
        <x:f>SUM(K41:P41)</x:f>
        <x:v>250</x:v>
      </x:c>
      <x:c r="K41" s="82" t="n">
        <x:v>35</x:v>
      </x:c>
      <x:c r="L41" s="82" t="n">
        <x:v>35</x:v>
      </x:c>
      <x:c r="M41" s="82" t="n">
        <x:v>40</x:v>
      </x:c>
      <x:c r="N41" s="82" t="n">
        <x:v>35</x:v>
      </x:c>
      <x:c r="O41" s="82" t="n">
        <x:v>55</x:v>
      </x:c>
      <x:c r="P41" s="82" t="n">
        <x:v>50</x:v>
      </x:c>
      <x:c r="Q41" s="143" t="n">
        <x:f>MAX(L41,N41)*Metodologia!$B$16</x:f>
        <x:v>45.5</x:v>
      </x:c>
      <x:c r="R41" s="143" t="n">
        <x:f>MIN(L41,N41)*Metodologia!$B$16</x:f>
        <x:v>45.5</x:v>
      </x:c>
      <x:c r="S41" s="143" t="n">
        <x:f>SQRT(K41*AVERAGE(M41,O41)*Metodologia!$B$16)</x:f>
        <x:v>46.489246068311324</x:v>
      </x:c>
      <x:c r="T41" s="82" t="str">
        <x:v>Não</x:v>
      </x:c>
      <x:c r="U41" s="82" t="str">
        <x:v>Rankeado</x:v>
      </x:c>
      <x:c r="V41" s="82" t="str">
        <x:v>Perfil misto; melhor atributo ofensivo 35, ofensiva secundária 35, robustez relativa 30% e Speed 50. O índice privilegia dano de hunt, sem ignorar sobrevivência.</x:v>
      </x:c>
      <x:c r="W41" s="82" t="str">
        <x:v>Fica atrás de Ledyba principalmente por teto ofensivo 12.5% menor e robustez sustentada 13.1% menor.</x:v>
      </x:c>
      <x:c r="X41" s="82" t="str">
        <x:v>Fica à frente de Weedle porque possui ofensiva secundária 75.0% maior e robustez sustentada 28.9% maior.</x:v>
      </x:c>
      <x:c r="Y41" s="154" t="str">
        <x:v>https://poke.idleworld.online/pokepedia/pokemon/hoppip</x:v>
      </x:c>
    </x:row>
    <x:row r="42" ht="48" customHeight="1">
      <x:c r="A42" s="82" t="n">
        <x:f>IF(U42&lt;&gt;"Rankeado","",COUNTIFS($U$5:$U$48,"Rankeado",$I$5:$I$48,"&gt;"&amp;I42)+COUNTIFS($U$5:U42,"Rankeado",$I$5:I42,I42))</x:f>
        <x:v>38</x:v>
      </x:c>
      <x:c r="B42" s="82" t="n">
        <x:f>COUNTIF($I$5:$I$48,"&gt;"&amp;I42)+COUNTIF($I$5:I42,I42)</x:f>
        <x:v>39</x:v>
      </x:c>
      <x:c r="C42" s="82" t="str">
        <x:f>IF(I42&gt;=80,"S+",IF(I42&gt;=72,"S",IF(I42&gt;=65,"A",IF(I42&gt;=58,"B",IF(I42&gt;=50,"C",IF(I42&gt;=42,"D","E"))))))</x:f>
        <x:v>E</x:v>
      </x:c>
      <x:c r="D42" s="82" t="str">
        <x:f>IF(AND(U42="Rankeado",A42&lt;=6),"Sim","Não")</x:f>
        <x:v>Não</x:v>
      </x:c>
      <x:c r="E42" s="82" t="n">
        <x:v>13</x:v>
      </x:c>
      <x:c r="F42" s="80" t="str">
        <x:v>Weedle</x:v>
      </x:c>
      <x:c r="G42" s="82" t="str">
        <x:v>Inseto / Veneno</x:v>
      </x:c>
      <x:c r="H42" s="82" t="str">
        <x:v>Físico</x:v>
      </x:c>
      <x:c r="I42" s="142" t="n">
        <x:f>ROUND(100*(Metodologia!$B$17*(Q42/Metodologia!$B$22)+Metodologia!$B$18*(R42/Metodologia!$B$23)+Metodologia!$B$19*(S42/Metodologia!$B$24)+Metodologia!$B$20*(P42/Metodologia!$B$25)+Metodologia!$B$21*(J42/Metodologia!$B$26)),2)</x:f>
        <x:v>23.71</x:v>
      </x:c>
      <x:c r="J42" s="82" t="n">
        <x:f>SUM(K42:P42)</x:f>
        <x:v>195</x:v>
      </x:c>
      <x:c r="K42" s="82" t="n">
        <x:v>40</x:v>
      </x:c>
      <x:c r="L42" s="82" t="n">
        <x:v>35</x:v>
      </x:c>
      <x:c r="M42" s="82" t="n">
        <x:v>30</x:v>
      </x:c>
      <x:c r="N42" s="82" t="n">
        <x:v>20</x:v>
      </x:c>
      <x:c r="O42" s="82" t="n">
        <x:v>20</x:v>
      </x:c>
      <x:c r="P42" s="82" t="n">
        <x:v>50</x:v>
      </x:c>
      <x:c r="Q42" s="143" t="n">
        <x:f>MAX(L42,N42)*Metodologia!$B$16</x:f>
        <x:v>45.5</x:v>
      </x:c>
      <x:c r="R42" s="143" t="n">
        <x:f>MIN(L42,N42)*Metodologia!$B$16</x:f>
        <x:v>26</x:v>
      </x:c>
      <x:c r="S42" s="143" t="n">
        <x:f>SQRT(K42*AVERAGE(M42,O42)*Metodologia!$B$16)</x:f>
        <x:v>36.05551275463989</x:v>
      </x:c>
      <x:c r="T42" s="82" t="str">
        <x:v>Sim</x:v>
      </x:c>
      <x:c r="U42" s="82" t="str">
        <x:v>Rankeado</x:v>
      </x:c>
      <x:c r="V42" s="82" t="str">
        <x:v>Perfil físico; melhor atributo ofensivo 35, ofensiva secundária 20, robustez relativa 23% e Speed 50. O índice privilegia dano de hunt, sem ignorar sobrevivência.</x:v>
      </x:c>
      <x:c r="W42" s="82" t="str">
        <x:v>Fica atrás de Hoppip principalmente por ofensiva secundária 42.9% menor e robustez sustentada 22.4% menor.</x:v>
      </x:c>
      <x:c r="X42" s="82" t="str">
        <x:v>Fica à frente de Caterpie porque possui teto ofensivo 16.7% maior e velocidade 11.1% maior.</x:v>
      </x:c>
      <x:c r="Y42" s="154" t="str">
        <x:v>https://poke.idleworld.online/pokepedia/pokemon/weedle</x:v>
      </x:c>
    </x:row>
    <x:row r="43" ht="48" customHeight="1">
      <x:c r="A43" s="82" t="n">
        <x:f>IF(U43&lt;&gt;"Rankeado","",COUNTIFS($U$5:$U$48,"Rankeado",$I$5:$I$48,"&gt;"&amp;I43)+COUNTIFS($U$5:U43,"Rankeado",$I$5:I43,I43))</x:f>
        <x:v>39</x:v>
      </x:c>
      <x:c r="B43" s="82" t="n">
        <x:f>COUNTIF($I$5:$I$48,"&gt;"&amp;I43)+COUNTIF($I$5:I43,I43)</x:f>
        <x:v>40</x:v>
      </x:c>
      <x:c r="C43" s="82" t="str">
        <x:f>IF(I43&gt;=80,"S+",IF(I43&gt;=72,"S",IF(I43&gt;=65,"A",IF(I43&gt;=58,"B",IF(I43&gt;=50,"C",IF(I43&gt;=42,"D","E"))))))</x:f>
        <x:v>E</x:v>
      </x:c>
      <x:c r="D43" s="82" t="str">
        <x:f>IF(AND(U43="Rankeado",A43&lt;=6),"Sim","Não")</x:f>
        <x:v>Não</x:v>
      </x:c>
      <x:c r="E43" s="82" t="n">
        <x:v>10</x:v>
      </x:c>
      <x:c r="F43" s="80" t="str">
        <x:v>Caterpie</x:v>
      </x:c>
      <x:c r="G43" s="82" t="str">
        <x:v>Inseto</x:v>
      </x:c>
      <x:c r="H43" s="82" t="str">
        <x:v>Misto</x:v>
      </x:c>
      <x:c r="I43" s="142" t="n">
        <x:f>ROUND(100*(Metodologia!$B$17*(Q43/Metodologia!$B$22)+Metodologia!$B$18*(R43/Metodologia!$B$23)+Metodologia!$B$19*(S43/Metodologia!$B$24)+Metodologia!$B$20*(P43/Metodologia!$B$25)+Metodologia!$B$21*(J43/Metodologia!$B$26)),2)</x:f>
        <x:v>21.82</x:v>
      </x:c>
      <x:c r="J43" s="82" t="n">
        <x:f>SUM(K43:P43)</x:f>
        <x:v>195</x:v>
      </x:c>
      <x:c r="K43" s="82" t="n">
        <x:v>45</x:v>
      </x:c>
      <x:c r="L43" s="82" t="n">
        <x:v>30</x:v>
      </x:c>
      <x:c r="M43" s="82" t="n">
        <x:v>35</x:v>
      </x:c>
      <x:c r="N43" s="82" t="n">
        <x:v>20</x:v>
      </x:c>
      <x:c r="O43" s="82" t="n">
        <x:v>20</x:v>
      </x:c>
      <x:c r="P43" s="82" t="n">
        <x:v>45</x:v>
      </x:c>
      <x:c r="Q43" s="143" t="n">
        <x:f>MAX(L43,N43)*Metodologia!$B$16</x:f>
        <x:v>39</x:v>
      </x:c>
      <x:c r="R43" s="143" t="n">
        <x:f>MIN(L43,N43)*Metodologia!$B$16</x:f>
        <x:v>26</x:v>
      </x:c>
      <x:c r="S43" s="143" t="n">
        <x:f>SQRT(K43*AVERAGE(M43,O43)*Metodologia!$B$16)</x:f>
        <x:v>40.10922587136281</x:v>
      </x:c>
      <x:c r="T43" s="82" t="str">
        <x:v>Sim</x:v>
      </x:c>
      <x:c r="U43" s="82" t="str">
        <x:v>Rankeado</x:v>
      </x:c>
      <x:c r="V43" s="82" t="str">
        <x:v>Perfil misto; melhor atributo ofensivo 30, ofensiva secundária 20, robustez relativa 26% e Speed 45. O índice privilegia dano de hunt, sem ignorar sobrevivência.</x:v>
      </x:c>
      <x:c r="W43" s="82" t="str">
        <x:v>Fica atrás de Weedle principalmente por teto ofensivo 14.3% menor e velocidade 10.0% menor.</x:v>
      </x:c>
      <x:c r="X43" s="82" t="str">
        <x:v>Fica à frente de Sunkern porque possui velocidade 50.0% maior e robustez sustentada 17.3% maior.</x:v>
      </x:c>
      <x:c r="Y43" s="154" t="str">
        <x:v>https://poke.idleworld.online/pokepedia/pokemon/caterpie</x:v>
      </x:c>
    </x:row>
    <x:row r="44" ht="48" customHeight="1">
      <x:c r="A44" s="82" t="n">
        <x:f>IF(U44&lt;&gt;"Rankeado","",COUNTIFS($U$5:$U$48,"Rankeado",$I$5:$I$48,"&gt;"&amp;I44)+COUNTIFS($U$5:U44,"Rankeado",$I$5:I44,I44))</x:f>
        <x:v>40</x:v>
      </x:c>
      <x:c r="B44" s="82" t="n">
        <x:f>COUNTIF($I$5:$I$48,"&gt;"&amp;I44)+COUNTIF($I$5:I44,I44)</x:f>
        <x:v>41</x:v>
      </x:c>
      <x:c r="C44" s="82" t="str">
        <x:f>IF(I44&gt;=80,"S+",IF(I44&gt;=72,"S",IF(I44&gt;=65,"A",IF(I44&gt;=58,"B",IF(I44&gt;=50,"C",IF(I44&gt;=42,"D","E"))))))</x:f>
        <x:v>E</x:v>
      </x:c>
      <x:c r="D44" s="82" t="str">
        <x:f>IF(AND(U44="Rankeado",A44&lt;=6),"Sim","Não")</x:f>
        <x:v>Não</x:v>
      </x:c>
      <x:c r="E44" s="82" t="n">
        <x:v>191</x:v>
      </x:c>
      <x:c r="F44" s="80" t="str">
        <x:v>Sunkern</x:v>
      </x:c>
      <x:c r="G44" s="82" t="str">
        <x:v>Planta</x:v>
      </x:c>
      <x:c r="H44" s="82" t="str">
        <x:v>Misto</x:v>
      </x:c>
      <x:c r="I44" s="142" t="n">
        <x:f>ROUND(100*(Metodologia!$B$17*(Q44/Metodologia!$B$22)+Metodologia!$B$18*(R44/Metodologia!$B$23)+Metodologia!$B$19*(S44/Metodologia!$B$24)+Metodologia!$B$20*(P44/Metodologia!$B$25)+Metodologia!$B$21*(J44/Metodologia!$B$26)),2)</x:f>
        <x:v>21.05</x:v>
      </x:c>
      <x:c r="J44" s="82" t="n">
        <x:f>SUM(K44:P44)</x:f>
        <x:v>180</x:v>
      </x:c>
      <x:c r="K44" s="82" t="n">
        <x:v>30</x:v>
      </x:c>
      <x:c r="L44" s="82" t="n">
        <x:v>30</x:v>
      </x:c>
      <x:c r="M44" s="82" t="n">
        <x:v>30</x:v>
      </x:c>
      <x:c r="N44" s="82" t="n">
        <x:v>30</x:v>
      </x:c>
      <x:c r="O44" s="82" t="n">
        <x:v>30</x:v>
      </x:c>
      <x:c r="P44" s="82" t="n">
        <x:v>30</x:v>
      </x:c>
      <x:c r="Q44" s="143" t="n">
        <x:f>MAX(L44,N44)*Metodologia!$B$16</x:f>
        <x:v>39</x:v>
      </x:c>
      <x:c r="R44" s="143" t="n">
        <x:f>MIN(L44,N44)*Metodologia!$B$16</x:f>
        <x:v>39</x:v>
      </x:c>
      <x:c r="S44" s="143" t="n">
        <x:f>SQRT(K44*AVERAGE(M44,O44)*Metodologia!$B$16)</x:f>
        <x:v>34.20526275297414</x:v>
      </x:c>
      <x:c r="T44" s="82" t="str">
        <x:v>Não</x:v>
      </x:c>
      <x:c r="U44" s="82" t="str">
        <x:v>Rankeado</x:v>
      </x:c>
      <x:c r="V44" s="82" t="str">
        <x:v>Perfil misto; melhor atributo ofensivo 30, ofensiva secundária 30, robustez relativa 22% e Speed 30. O índice privilegia dano de hunt, sem ignorar sobrevivência.</x:v>
      </x:c>
      <x:c r="W44" s="82" t="str">
        <x:v>Fica atrás de Caterpie principalmente por velocidade 33.3% menor e robustez sustentada 14.7% menor.</x:v>
      </x:c>
      <x:c r="X44" s="82" t="str">
        <x:v>Fica à frente de Kakuna porque possui teto ofensivo 20.0% maior e ofensiva secundária 20.0% maior.</x:v>
      </x:c>
      <x:c r="Y44" s="154" t="str">
        <x:v>https://poke.idleworld.online/pokepedia/pokemon/sunkern</x:v>
      </x:c>
    </x:row>
    <x:row r="45" ht="48" customHeight="1">
      <x:c r="A45" s="82" t="n">
        <x:f>IF(U45&lt;&gt;"Rankeado","",COUNTIFS($U$5:$U$48,"Rankeado",$I$5:$I$48,"&gt;"&amp;I45)+COUNTIFS($U$5:U45,"Rankeado",$I$5:I45,I45))</x:f>
        <x:v>41</x:v>
      </x:c>
      <x:c r="B45" s="82" t="n">
        <x:f>COUNTIF($I$5:$I$48,"&gt;"&amp;I45)+COUNTIF($I$5:I45,I45)</x:f>
        <x:v>42</x:v>
      </x:c>
      <x:c r="C45" s="82" t="str">
        <x:f>IF(I45&gt;=80,"S+",IF(I45&gt;=72,"S",IF(I45&gt;=65,"A",IF(I45&gt;=58,"B",IF(I45&gt;=50,"C",IF(I45&gt;=42,"D","E"))))))</x:f>
        <x:v>E</x:v>
      </x:c>
      <x:c r="D45" s="82" t="str">
        <x:f>IF(AND(U45="Rankeado",A45&lt;=6),"Sim","Não")</x:f>
        <x:v>Não</x:v>
      </x:c>
      <x:c r="E45" s="82" t="n">
        <x:v>14</x:v>
      </x:c>
      <x:c r="F45" s="80" t="str">
        <x:v>Kakuna</x:v>
      </x:c>
      <x:c r="G45" s="82" t="str">
        <x:v>Inseto / Veneno</x:v>
      </x:c>
      <x:c r="H45" s="82" t="str">
        <x:v>Misto</x:v>
      </x:c>
      <x:c r="I45" s="142" t="n">
        <x:f>ROUND(100*(Metodologia!$B$17*(Q45/Metodologia!$B$22)+Metodologia!$B$18*(R45/Metodologia!$B$23)+Metodologia!$B$19*(S45/Metodologia!$B$24)+Metodologia!$B$20*(P45/Metodologia!$B$25)+Metodologia!$B$21*(J45/Metodologia!$B$26)),2)</x:f>
        <x:v>20.39</x:v>
      </x:c>
      <x:c r="J45" s="82" t="n">
        <x:f>SUM(K45:P45)</x:f>
        <x:v>205</x:v>
      </x:c>
      <x:c r="K45" s="82" t="n">
        <x:v>45</x:v>
      </x:c>
      <x:c r="L45" s="82" t="n">
        <x:v>25</x:v>
      </x:c>
      <x:c r="M45" s="82" t="n">
        <x:v>50</x:v>
      </x:c>
      <x:c r="N45" s="82" t="n">
        <x:v>25</x:v>
      </x:c>
      <x:c r="O45" s="82" t="n">
        <x:v>25</x:v>
      </x:c>
      <x:c r="P45" s="82" t="n">
        <x:v>35</x:v>
      </x:c>
      <x:c r="Q45" s="143" t="n">
        <x:f>MAX(L45,N45)*Metodologia!$B$16</x:f>
        <x:v>32.5</x:v>
      </x:c>
      <x:c r="R45" s="143" t="n">
        <x:f>MIN(L45,N45)*Metodologia!$B$16</x:f>
        <x:v>32.5</x:v>
      </x:c>
      <x:c r="S45" s="143" t="n">
        <x:f>SQRT(K45*AVERAGE(M45,O45)*Metodologia!$B$16)</x:f>
        <x:v>46.837484987987985</x:v>
      </x:c>
      <x:c r="T45" s="82" t="str">
        <x:v>Sim</x:v>
      </x:c>
      <x:c r="U45" s="82" t="str">
        <x:v>Rankeado</x:v>
      </x:c>
      <x:c r="V45" s="82" t="str">
        <x:v>Perfil misto; melhor atributo ofensivo 25, ofensiva secundária 25, robustez relativa 30% e Speed 35. O índice privilegia dano de hunt, sem ignorar sobrevivência.</x:v>
      </x:c>
      <x:c r="W45" s="82" t="str">
        <x:v>Fica atrás de Sunkern principalmente por teto ofensivo 16.7% menor e ofensiva secundária 16.7% menor.</x:v>
      </x:c>
      <x:c r="X45" s="82" t="str">
        <x:v>Fica à frente de Metapod porque possui ofensiva secundária 25.0% maior e velocidade 16.7% maior.</x:v>
      </x:c>
      <x:c r="Y45" s="154" t="str">
        <x:v>https://poke.idleworld.online/pokepedia/pokemon/kakuna</x:v>
      </x:c>
    </x:row>
    <x:row r="46" ht="48" customHeight="1">
      <x:c r="A46" s="82" t="n">
        <x:f>IF(U46&lt;&gt;"Rankeado","",COUNTIFS($U$5:$U$48,"Rankeado",$I$5:$I$48,"&gt;"&amp;I46)+COUNTIFS($U$5:U46,"Rankeado",$I$5:I46,I46))</x:f>
        <x:v>42</x:v>
      </x:c>
      <x:c r="B46" s="82" t="n">
        <x:f>COUNTIF($I$5:$I$48,"&gt;"&amp;I46)+COUNTIF($I$5:I46,I46)</x:f>
        <x:v>43</x:v>
      </x:c>
      <x:c r="C46" s="82" t="str">
        <x:f>IF(I46&gt;=80,"S+",IF(I46&gt;=72,"S",IF(I46&gt;=65,"A",IF(I46&gt;=58,"B",IF(I46&gt;=50,"C",IF(I46&gt;=42,"D","E"))))))</x:f>
        <x:v>E</x:v>
      </x:c>
      <x:c r="D46" s="82" t="str">
        <x:f>IF(AND(U46="Rankeado",A46&lt;=6),"Sim","Não")</x:f>
        <x:v>Não</x:v>
      </x:c>
      <x:c r="E46" s="82" t="n">
        <x:v>11</x:v>
      </x:c>
      <x:c r="F46" s="80" t="str">
        <x:v>Metapod</x:v>
      </x:c>
      <x:c r="G46" s="82" t="str">
        <x:v>Inseto</x:v>
      </x:c>
      <x:c r="H46" s="82" t="str">
        <x:v>Misto</x:v>
      </x:c>
      <x:c r="I46" s="142" t="n">
        <x:f>ROUND(100*(Metodologia!$B$17*(Q46/Metodologia!$B$22)+Metodologia!$B$18*(R46/Metodologia!$B$23)+Metodologia!$B$19*(S46/Metodologia!$B$24)+Metodologia!$B$20*(P46/Metodologia!$B$25)+Metodologia!$B$21*(J46/Metodologia!$B$26)),2)</x:f>
        <x:v>20</x:v>
      </x:c>
      <x:c r="J46" s="82" t="n">
        <x:f>SUM(K46:P46)</x:f>
        <x:v>205</x:v>
      </x:c>
      <x:c r="K46" s="82" t="n">
        <x:v>50</x:v>
      </x:c>
      <x:c r="L46" s="82" t="n">
        <x:v>20</x:v>
      </x:c>
      <x:c r="M46" s="82" t="n">
        <x:v>55</x:v>
      </x:c>
      <x:c r="N46" s="82" t="n">
        <x:v>25</x:v>
      </x:c>
      <x:c r="O46" s="82" t="n">
        <x:v>25</x:v>
      </x:c>
      <x:c r="P46" s="82" t="n">
        <x:v>30</x:v>
      </x:c>
      <x:c r="Q46" s="143" t="n">
        <x:f>MAX(L46,N46)*Metodologia!$B$16</x:f>
        <x:v>32.5</x:v>
      </x:c>
      <x:c r="R46" s="143" t="n">
        <x:f>MIN(L46,N46)*Metodologia!$B$16</x:f>
        <x:v>26</x:v>
      </x:c>
      <x:c r="S46" s="143" t="n">
        <x:f>SQRT(K46*AVERAGE(M46,O46)*Metodologia!$B$16)</x:f>
        <x:v>50.99019513592785</x:v>
      </x:c>
      <x:c r="T46" s="82" t="str">
        <x:v>Sim</x:v>
      </x:c>
      <x:c r="U46" s="82" t="str">
        <x:v>Rankeado</x:v>
      </x:c>
      <x:c r="V46" s="82" t="str">
        <x:v>Perfil misto; melhor atributo ofensivo 25, ofensiva secundária 20, robustez relativa 33% e Speed 30. O índice privilegia dano de hunt, sem ignorar sobrevivência.</x:v>
      </x:c>
      <x:c r="W46" s="82" t="str">
        <x:v>Fica atrás de Kakuna principalmente por ofensiva secundária 20.0% menor e velocidade 14.3% menor.</x:v>
      </x:c>
      <x:c r="X46" s="82" t="str">
        <x:v>Fica à frente de Shuckle porque possui teto ofensivo 150.0% maior e velocidade 500.0% maior.</x:v>
      </x:c>
      <x:c r="Y46" s="154" t="str">
        <x:v>https://poke.idleworld.online/pokepedia/pokemon/metapod</x:v>
      </x:c>
    </x:row>
    <x:row r="47" ht="48" customHeight="1">
      <x:c r="A47" s="82" t="n">
        <x:f>IF(U47&lt;&gt;"Rankeado","",COUNTIFS($U$5:$U$48,"Rankeado",$I$5:$I$48,"&gt;"&amp;I47)+COUNTIFS($U$5:U47,"Rankeado",$I$5:I47,I47))</x:f>
        <x:v>43</x:v>
      </x:c>
      <x:c r="B47" s="82" t="n">
        <x:f>COUNTIF($I$5:$I$48,"&gt;"&amp;I47)+COUNTIF($I$5:I47,I47)</x:f>
        <x:v>44</x:v>
      </x:c>
      <x:c r="C47" s="82" t="str">
        <x:f>IF(I47&gt;=80,"S+",IF(I47&gt;=72,"S",IF(I47&gt;=65,"A",IF(I47&gt;=58,"B",IF(I47&gt;=50,"C",IF(I47&gt;=42,"D","E"))))))</x:f>
        <x:v>E</x:v>
      </x:c>
      <x:c r="D47" s="82" t="str">
        <x:f>IF(AND(U47="Rankeado",A47&lt;=6),"Sim","Não")</x:f>
        <x:v>Não</x:v>
      </x:c>
      <x:c r="E47" s="82" t="n">
        <x:v>213</x:v>
      </x:c>
      <x:c r="F47" s="80" t="str">
        <x:v>Shuckle</x:v>
      </x:c>
      <x:c r="G47" s="82" t="str">
        <x:v>Inseto / Pedra</x:v>
      </x:c>
      <x:c r="H47" s="82" t="str">
        <x:v>Misto</x:v>
      </x:c>
      <x:c r="I47" s="142" t="n">
        <x:f>ROUND(100*(Metodologia!$B$17*(Q47/Metodologia!$B$22)+Metodologia!$B$18*(R47/Metodologia!$B$23)+Metodologia!$B$19*(S47/Metodologia!$B$24)+Metodologia!$B$20*(P47/Metodologia!$B$25)+Metodologia!$B$21*(J47/Metodologia!$B$26)),2)</x:f>
        <x:v>16.33</x:v>
      </x:c>
      <x:c r="J47" s="82" t="n">
        <x:f>SUM(K47:P47)</x:f>
        <x:v>505</x:v>
      </x:c>
      <x:c r="K47" s="82" t="n">
        <x:v>20</x:v>
      </x:c>
      <x:c r="L47" s="82" t="n">
        <x:v>10</x:v>
      </x:c>
      <x:c r="M47" s="82" t="n">
        <x:v>230</x:v>
      </x:c>
      <x:c r="N47" s="82" t="n">
        <x:v>10</x:v>
      </x:c>
      <x:c r="O47" s="82" t="n">
        <x:v>230</x:v>
      </x:c>
      <x:c r="P47" s="82" t="n">
        <x:v>5</x:v>
      </x:c>
      <x:c r="Q47" s="143" t="n">
        <x:f>MAX(L47,N47)*Metodologia!$B$16</x:f>
        <x:v>13</x:v>
      </x:c>
      <x:c r="R47" s="143" t="n">
        <x:f>MIN(L47,N47)*Metodologia!$B$16</x:f>
        <x:v>13</x:v>
      </x:c>
      <x:c r="S47" s="143" t="n">
        <x:f>SQRT(K47*AVERAGE(M47,O47)*Metodologia!$B$16)</x:f>
        <x:v>77.33045971672482</x:v>
      </x:c>
      <x:c r="T47" s="82" t="str">
        <x:v>Não</x:v>
      </x:c>
      <x:c r="U47" s="82" t="str">
        <x:v>Rankeado</x:v>
      </x:c>
      <x:c r="V47" s="82" t="str">
        <x:v>Perfil misto; melhor atributo ofensivo 10, ofensiva secundária 10, robustez relativa 50% e Speed 5. O índice privilegia dano de hunt, sem ignorar sobrevivência.</x:v>
      </x:c>
      <x:c r="W47" s="82" t="str">
        <x:v>Fica atrás de Metapod principalmente por teto ofensivo 60.0% menor e velocidade 83.3% menor.</x:v>
      </x:c>
      <x:c r="X47" s="82" t="str">
        <x:v>É o último utilizável deste clã.</x:v>
      </x:c>
      <x:c r="Y47" s="154" t="str">
        <x:v>https://poke.idleworld.online/pokepedia/pokemon/shuckle</x:v>
      </x:c>
    </x:row>
    <x:row r="48" ht="48" customHeight="1">
      <x:c r="A48" s="86" t="str">
        <x:f>IF(U48&lt;&gt;"Rankeado","",COUNTIFS($U$5:$U$48,"Rankeado",$I$5:$I$48,"&gt;"&amp;I48)+COUNTIFS($U$5:U48,"Rankeado",$I$5:I48,I48))</x:f>
      </x:c>
      <x:c r="B48" s="86" t="n">
        <x:f>COUNTIF($I$5:$I$48,"&gt;"&amp;I48)+COUNTIF($I$5:I48,I48)</x:f>
        <x:v>5</x:v>
      </x:c>
      <x:c r="C48" s="86" t="str">
        <x:f>IF(I48&gt;=80,"S+",IF(I48&gt;=72,"S",IF(I48&gt;=65,"A",IF(I48&gt;=58,"B",IF(I48&gt;=50,"C",IF(I48&gt;=42,"D","E"))))))</x:f>
        <x:v>A</x:v>
      </x:c>
      <x:c r="D48" s="86" t="str">
        <x:f>IF(AND(U48="Rankeado",A48&lt;=6),"Sim","Não")</x:f>
        <x:v>Não</x:v>
      </x:c>
      <x:c r="E48" s="86" t="n">
        <x:v>251</x:v>
      </x:c>
      <x:c r="F48" s="84" t="str">
        <x:v>Celebi</x:v>
      </x:c>
      <x:c r="G48" s="86" t="str">
        <x:v>Psíquico / Planta</x:v>
      </x:c>
      <x:c r="H48" s="86" t="str">
        <x:v>Misto</x:v>
      </x:c>
      <x:c r="I48" s="145" t="n">
        <x:f>ROUND(100*(Metodologia!$B$17*(Q48/Metodologia!$B$22)+Metodologia!$B$18*(R48/Metodologia!$B$23)+Metodologia!$B$19*(S48/Metodologia!$B$24)+Metodologia!$B$20*(P48/Metodologia!$B$25)+Metodologia!$B$21*(J48/Metodologia!$B$26)),2)</x:f>
        <x:v>70.16</x:v>
      </x:c>
      <x:c r="J48" s="86" t="n">
        <x:f>SUM(K48:P48)</x:f>
        <x:v>600</x:v>
      </x:c>
      <x:c r="K48" s="86" t="n">
        <x:v>100</x:v>
      </x:c>
      <x:c r="L48" s="86" t="n">
        <x:v>100</x:v>
      </x:c>
      <x:c r="M48" s="86" t="n">
        <x:v>100</x:v>
      </x:c>
      <x:c r="N48" s="86" t="n">
        <x:v>100</x:v>
      </x:c>
      <x:c r="O48" s="86" t="n">
        <x:v>100</x:v>
      </x:c>
      <x:c r="P48" s="86" t="n">
        <x:v>100</x:v>
      </x:c>
      <x:c r="Q48" s="146" t="n">
        <x:f>MAX(L48,N48)*Metodologia!$B$16</x:f>
        <x:v>130</x:v>
      </x:c>
      <x:c r="R48" s="146" t="n">
        <x:f>MIN(L48,N48)*Metodologia!$B$16</x:f>
        <x:v>130</x:v>
      </x:c>
      <x:c r="S48" s="146" t="n">
        <x:f>SQRT(K48*AVERAGE(M48,O48)*Metodologia!$B$16)</x:f>
        <x:v>114.0175425099138</x:v>
      </x:c>
      <x:c r="T48" s="86" t="str">
        <x:v>Não</x:v>
      </x:c>
      <x:c r="U48" s="86" t="str">
        <x:v>Excluído — lendário/mítico</x:v>
      </x:c>
      <x:c r="V48" s="86" t="str">
        <x:v>Espécie lendária/mítica: mantida na auditoria, mas fora do time utilizável solicitado.</x:v>
      </x:c>
      <x:c r="W48" s="86" t="str"/>
      <x:c r="X48" s="86" t="str"/>
      <x:c r="Y48" s="155" t="str">
        <x:v>https://poke.idleworld.online/pokepedia/pokemon/celebi</x:v>
      </x:c>
    </x:row>
  </x:sheetData>
  <x:mergeCells>
    <x:mergeCell ref="A1:Y1"/>
    <x:mergeCell ref="A2:Y2"/>
  </x:mergeCells>
  <x:conditionalFormatting sqref="I5:I48">
    <x:cfRule type="colorScale" priority="1">
      <x:colorScale>
        <x:cfvo type="min"/>
        <x:cfvo type="percentile" val="50"/>
        <x:cfvo type="max"/>
        <x:color rgb="FF6B1F1A"/>
        <x:color rgb="FFD98350"/>
        <x:color rgb="FF5F9D62"/>
      </x:colorScale>
    </x:cfRule>
  </x:conditionalFormatting>
  <x:conditionalFormatting sqref="A5:Y48">
    <x:cfRule type="expression" dxfId="6" priority="2">
      <x:formula>AND($D5="Sim",$U5="Rankeado")</x:formula>
    </x:cfRule>
    <x:cfRule type="expression" dxfId="7" priority="3">
      <x:formula>$U5="Excluído — lendário/mítico"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309fdb2f1454ae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8" hidden="0" customWidth="1"/>
    <x:col min="4" max="4" width="10" hidden="0" customWidth="1"/>
    <x:col min="5" max="5" width="7" hidden="0" customWidth="1"/>
    <x:col min="6" max="6" width="20" hidden="0" customWidth="1"/>
    <x:col min="7" max="7" width="22" hidden="0" customWidth="1"/>
    <x:col min="8" max="8" width="12" hidden="0" customWidth="1"/>
    <x:col min="9" max="9" width="11" hidden="0" customWidth="1"/>
    <x:col min="10" max="10" width="9" hidden="0" customWidth="1"/>
    <x:col min="11" max="11" width="8" hidden="0" customWidth="1"/>
    <x:col min="12" max="12" width="8" hidden="0" customWidth="1"/>
    <x:col min="13" max="13" width="8" hidden="0" customWidth="1"/>
    <x:col min="14" max="14" width="10" hidden="0" customWidth="1"/>
    <x:col min="15" max="15" width="10" hidden="0" customWidth="1"/>
    <x:col min="16" max="16" width="9" hidden="0" customWidth="1"/>
    <x:col min="17" max="17" width="18" hidden="0" customWidth="1"/>
    <x:col min="18" max="18" width="21" hidden="0" customWidth="1"/>
    <x:col min="19" max="19" width="16" hidden="0" customWidth="1"/>
    <x:col min="20" max="20" width="13" hidden="0" customWidth="1"/>
    <x:col min="21" max="21" width="23" hidden="0" customWidth="1"/>
    <x:col min="22" max="22" width="48" hidden="0" customWidth="1"/>
    <x:col min="23" max="23" width="52" hidden="0" customWidth="1"/>
    <x:col min="24" max="24" width="52" hidden="0" customWidth="1"/>
    <x:col min="25" max="25" width="56" hidden="0" customWidth="1"/>
  </x:cols>
  <x:sheetData>
    <x:row r="1" ht="34" customHeight="1">
      <x:c r="A1" s="5" t="str">
        <x:v>Gardestrike · ranking completo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 ht="24" customHeight="1">
      <x:c r="A2" s="12" t="str">
        <x:v>Normal / Lutador · 48 utilizáveis · time recomendado: Ursaring · Machamp · Heracross · Snorlax · Hitmonlee · Dodrio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</x:row>
    <x:row r="4">
      <x:c r="A4" s="115" t="str">
        <x:v>Posição</x:v>
      </x:c>
      <x:c r="B4" s="115" t="str">
        <x:v>Rank teórico</x:v>
      </x:c>
      <x:c r="C4" s="115" t="str">
        <x:v>Tier</x:v>
      </x:c>
      <x:c r="D4" s="115" t="str">
        <x:v>Time 6</x:v>
      </x:c>
      <x:c r="E4" s="115" t="str">
        <x:v>#</x:v>
      </x:c>
      <x:c r="F4" s="115" t="str">
        <x:v>Pokémon</x:v>
      </x:c>
      <x:c r="G4" s="115" t="str">
        <x:v>Tipos</x:v>
      </x:c>
      <x:c r="H4" s="115" t="str">
        <x:v>Perfil</x:v>
      </x:c>
      <x:c r="I4" s="115" t="str">
        <x:v>Score</x:v>
      </x:c>
      <x:c r="J4" s="115" t="str">
        <x:v>BST</x:v>
      </x:c>
      <x:c r="K4" s="115" t="str">
        <x:v>HP</x:v>
      </x:c>
      <x:c r="L4" s="115" t="str">
        <x:v>ATK</x:v>
      </x:c>
      <x:c r="M4" s="115" t="str">
        <x:v>DEF</x:v>
      </x:c>
      <x:c r="N4" s="115" t="str">
        <x:v>Sp. ATK</x:v>
      </x:c>
      <x:c r="O4" s="115" t="str">
        <x:v>Sp. DEF</x:v>
      </x:c>
      <x:c r="P4" s="115" t="str">
        <x:v>Speed</x:v>
      </x:c>
      <x:c r="Q4" s="115" t="str">
        <x:v>Teto ofensivo R5</x:v>
      </x:c>
      <x:c r="R4" s="115" t="str">
        <x:v>Ofensiva secundária R5</x:v>
      </x:c>
      <x:c r="S4" s="115" t="str">
        <x:v>Robustez R5</x:v>
      </x:c>
      <x:c r="T4" s="115" t="str">
        <x:v>Hunt Kanto</x:v>
      </x:c>
      <x:c r="U4" s="115" t="str">
        <x:v>Status</x:v>
      </x:c>
      <x:c r="V4" s="115" t="str">
        <x:v>Leitura técnica</x:v>
      </x:c>
      <x:c r="W4" s="115" t="str">
        <x:v>Por que abaixo do anterior</x:v>
      </x:c>
      <x:c r="X4" s="115" t="str">
        <x:v>Por que acima do seguinte</x:v>
      </x:c>
      <x:c r="Y4" s="115" t="str">
        <x:v>Fonte</x:v>
      </x:c>
    </x:row>
    <x:row r="5" ht="48" customHeight="1">
      <x:c r="A5" s="82" t="n">
        <x:f>IF(U5&lt;&gt;"Rankeado","",COUNTIFS($U$5:$U$52,"Rankeado",$I$5:$I$52,"&gt;"&amp;I5)+COUNTIFS($U$5:U5,"Rankeado",$I$5:I5,I5))</x:f>
        <x:v>1</x:v>
      </x:c>
      <x:c r="B5" s="82" t="n">
        <x:f>COUNTIF($I$5:$I$52,"&gt;"&amp;I5)+COUNTIF($I$5:I5,I5)</x:f>
        <x:v>1</x:v>
      </x:c>
      <x:c r="C5" s="82" t="str">
        <x:f>IF(I5&gt;=80,"S+",IF(I5&gt;=72,"S",IF(I5&gt;=65,"A",IF(I5&gt;=58,"B",IF(I5&gt;=50,"C",IF(I5&gt;=42,"D","E"))))))</x:f>
        <x:v>S</x:v>
      </x:c>
      <x:c r="D5" s="82" t="str">
        <x:f>IF(AND(U5="Rankeado",A5&lt;=6),"Sim","Não")</x:f>
        <x:v>Sim</x:v>
      </x:c>
      <x:c r="E5" s="82" t="n">
        <x:v>217</x:v>
      </x:c>
      <x:c r="F5" s="80" t="str">
        <x:v>Ursaring</x:v>
      </x:c>
      <x:c r="G5" s="82" t="str">
        <x:v>Normal</x:v>
      </x:c>
      <x:c r="H5" s="82" t="str">
        <x:v>Físico</x:v>
      </x:c>
      <x:c r="I5" s="142" t="n">
        <x:f>ROUND(100*(Metodologia!$B$17*(Q5/Metodologia!$B$22)+Metodologia!$B$18*(R5/Metodologia!$B$23)+Metodologia!$B$19*(S5/Metodologia!$B$24)+Metodologia!$B$20*(P5/Metodologia!$B$25)+Metodologia!$B$21*(J5/Metodologia!$B$26)),2)</x:f>
        <x:v>73.87</x:v>
      </x:c>
      <x:c r="J5" s="82" t="n">
        <x:f>SUM(K5:P5)</x:f>
        <x:v>500</x:v>
      </x:c>
      <x:c r="K5" s="82" t="n">
        <x:v>90</x:v>
      </x:c>
      <x:c r="L5" s="82" t="n">
        <x:v>130</x:v>
      </x:c>
      <x:c r="M5" s="82" t="n">
        <x:v>75</x:v>
      </x:c>
      <x:c r="N5" s="82" t="n">
        <x:v>75</x:v>
      </x:c>
      <x:c r="O5" s="82" t="n">
        <x:v>75</x:v>
      </x:c>
      <x:c r="P5" s="82" t="n">
        <x:v>55</x:v>
      </x:c>
      <x:c r="Q5" s="143" t="n">
        <x:f>MAX(L5,N5)*Metodologia!$B$16</x:f>
        <x:v>169</x:v>
      </x:c>
      <x:c r="R5" s="143" t="n">
        <x:f>MIN(L5,N5)*Metodologia!$B$16</x:f>
        <x:v>97.5</x:v>
      </x:c>
      <x:c r="S5" s="143" t="n">
        <x:f>SQRT(K5*AVERAGE(M5,O5)*Metodologia!$B$16)</x:f>
        <x:v>93.67496997597597</x:v>
      </x:c>
      <x:c r="T5" s="82" t="str">
        <x:v>Sim</x:v>
      </x:c>
      <x:c r="U5" s="82" t="str">
        <x:v>Rankeado</x:v>
      </x:c>
      <x:c r="V5" s="82" t="str">
        <x:v>Perfil físico; melhor atributo ofensivo 130, ofensiva secundária 75, robustez relativa 60% e Speed 55. O índice privilegia dano de hunt, sem ignorar sobrevivência.</x:v>
      </x:c>
      <x:c r="W5" s="82" t="str">
        <x:v>É o líder do clã no modelo.</x:v>
      </x:c>
      <x:c r="X5" s="82" t="str">
        <x:v>Fica à frente de Machamp porque possui ofensiva secundária 15.4% maior.</x:v>
      </x:c>
      <x:c r="Y5" s="154" t="str">
        <x:v>https://poke.idleworld.online/pokepedia/pokemon/ursaring</x:v>
      </x:c>
    </x:row>
    <x:row r="6" ht="48" customHeight="1">
      <x:c r="A6" s="82" t="n">
        <x:f>IF(U6&lt;&gt;"Rankeado","",COUNTIFS($U$5:$U$52,"Rankeado",$I$5:$I$52,"&gt;"&amp;I6)+COUNTIFS($U$5:U6,"Rankeado",$I$5:I6,I6))</x:f>
        <x:v>2</x:v>
      </x:c>
      <x:c r="B6" s="82" t="n">
        <x:f>COUNTIF($I$5:$I$52,"&gt;"&amp;I6)+COUNTIF($I$5:I6,I6)</x:f>
        <x:v>2</x:v>
      </x:c>
      <x:c r="C6" s="82" t="str">
        <x:f>IF(I6&gt;=80,"S+",IF(I6&gt;=72,"S",IF(I6&gt;=65,"A",IF(I6&gt;=58,"B",IF(I6&gt;=50,"C",IF(I6&gt;=42,"D","E"))))))</x:f>
        <x:v>S</x:v>
      </x:c>
      <x:c r="D6" s="82" t="str">
        <x:f>IF(AND(U6="Rankeado",A6&lt;=6),"Sim","Não")</x:f>
        <x:v>Sim</x:v>
      </x:c>
      <x:c r="E6" s="82" t="n">
        <x:v>68</x:v>
      </x:c>
      <x:c r="F6" s="80" t="str">
        <x:v>Machamp</x:v>
      </x:c>
      <x:c r="G6" s="82" t="str">
        <x:v>Lutador</x:v>
      </x:c>
      <x:c r="H6" s="82" t="str">
        <x:v>Físico</x:v>
      </x:c>
      <x:c r="I6" s="142" t="n">
        <x:f>ROUND(100*(Metodologia!$B$17*(Q6/Metodologia!$B$22)+Metodologia!$B$18*(R6/Metodologia!$B$23)+Metodologia!$B$19*(S6/Metodologia!$B$24)+Metodologia!$B$20*(P6/Metodologia!$B$25)+Metodologia!$B$21*(J6/Metodologia!$B$26)),2)</x:f>
        <x:v>73.44</x:v>
      </x:c>
      <x:c r="J6" s="82" t="n">
        <x:f>SUM(K6:P6)</x:f>
        <x:v>505</x:v>
      </x:c>
      <x:c r="K6" s="82" t="n">
        <x:v>90</x:v>
      </x:c>
      <x:c r="L6" s="82" t="n">
        <x:v>130</x:v>
      </x:c>
      <x:c r="M6" s="82" t="n">
        <x:v>80</x:v>
      </x:c>
      <x:c r="N6" s="82" t="n">
        <x:v>65</x:v>
      </x:c>
      <x:c r="O6" s="82" t="n">
        <x:v>85</x:v>
      </x:c>
      <x:c r="P6" s="82" t="n">
        <x:v>55</x:v>
      </x:c>
      <x:c r="Q6" s="143" t="n">
        <x:f>MAX(L6,N6)*Metodologia!$B$16</x:f>
        <x:v>169</x:v>
      </x:c>
      <x:c r="R6" s="143" t="n">
        <x:f>MIN(L6,N6)*Metodologia!$B$16</x:f>
        <x:v>84.5</x:v>
      </x:c>
      <x:c r="S6" s="143" t="n">
        <x:f>SQRT(K6*AVERAGE(M6,O6)*Metodologia!$B$16)</x:f>
        <x:v>98.24713736287688</x:v>
      </x:c>
      <x:c r="T6" s="82" t="str">
        <x:v>Sim</x:v>
      </x:c>
      <x:c r="U6" s="82" t="str">
        <x:v>Rankeado</x:v>
      </x:c>
      <x:c r="V6" s="82" t="str">
        <x:v>Perfil físico; melhor atributo ofensivo 130, ofensiva secundária 65, robustez relativa 63% e Speed 55. O índice privilegia dano de hunt, sem ignorar sobrevivência.</x:v>
      </x:c>
      <x:c r="W6" s="82" t="str">
        <x:v>Fica atrás de Ursaring principalmente por ofensiva secundária 13.3% menor.</x:v>
      </x:c>
      <x:c r="X6" s="82" t="str">
        <x:v>Fica à frente de Heracross porque possui ofensiva secundária 62.5% maior e teto ofensivo 4.0% maior.</x:v>
      </x:c>
      <x:c r="Y6" s="154" t="str">
        <x:v>https://poke.idleworld.online/pokepedia/pokemon/machamp</x:v>
      </x:c>
    </x:row>
    <x:row r="7" ht="48" customHeight="1">
      <x:c r="A7" s="82" t="n">
        <x:f>IF(U7&lt;&gt;"Rankeado","",COUNTIFS($U$5:$U$52,"Rankeado",$I$5:$I$52,"&gt;"&amp;I7)+COUNTIFS($U$5:U7,"Rankeado",$I$5:I7,I7))</x:f>
        <x:v>3</x:v>
      </x:c>
      <x:c r="B7" s="82" t="n">
        <x:f>COUNTIF($I$5:$I$52,"&gt;"&amp;I7)+COUNTIF($I$5:I7,I7)</x:f>
        <x:v>3</x:v>
      </x:c>
      <x:c r="C7" s="82" t="str">
        <x:f>IF(I7&gt;=80,"S+",IF(I7&gt;=72,"S",IF(I7&gt;=65,"A",IF(I7&gt;=58,"B",IF(I7&gt;=50,"C",IF(I7&gt;=42,"D","E"))))))</x:f>
        <x:v>A</x:v>
      </x:c>
      <x:c r="D7" s="82" t="str">
        <x:f>IF(AND(U7="Rankeado",A7&lt;=6),"Sim","Não")</x:f>
        <x:v>Sim</x:v>
      </x:c>
      <x:c r="E7" s="82" t="n">
        <x:v>214</x:v>
      </x:c>
      <x:c r="F7" s="80" t="str">
        <x:v>Heracross</x:v>
      </x:c>
      <x:c r="G7" s="82" t="str">
        <x:v>Inseto / Lutador</x:v>
      </x:c>
      <x:c r="H7" s="82" t="str">
        <x:v>Físico</x:v>
      </x:c>
      <x:c r="I7" s="142" t="n">
        <x:f>ROUND(100*(Metodologia!$B$17*(Q7/Metodologia!$B$22)+Metodologia!$B$18*(R7/Metodologia!$B$23)+Metodologia!$B$19*(S7/Metodologia!$B$24)+Metodologia!$B$20*(P7/Metodologia!$B$25)+Metodologia!$B$21*(J7/Metodologia!$B$26)),2)</x:f>
        <x:v>70.78</x:v>
      </x:c>
      <x:c r="J7" s="82" t="n">
        <x:f>SUM(K7:P7)</x:f>
        <x:v>500</x:v>
      </x:c>
      <x:c r="K7" s="82" t="n">
        <x:v>80</x:v>
      </x:c>
      <x:c r="L7" s="82" t="n">
        <x:v>125</x:v>
      </x:c>
      <x:c r="M7" s="82" t="n">
        <x:v>75</x:v>
      </x:c>
      <x:c r="N7" s="82" t="n">
        <x:v>40</x:v>
      </x:c>
      <x:c r="O7" s="82" t="n">
        <x:v>95</x:v>
      </x:c>
      <x:c r="P7" s="82" t="n">
        <x:v>85</x:v>
      </x:c>
      <x:c r="Q7" s="143" t="n">
        <x:f>MAX(L7,N7)*Metodologia!$B$16</x:f>
        <x:v>162.5</x:v>
      </x:c>
      <x:c r="R7" s="143" t="n">
        <x:f>MIN(L7,N7)*Metodologia!$B$16</x:f>
        <x:v>52</x:v>
      </x:c>
      <x:c r="S7" s="143" t="n">
        <x:f>SQRT(K7*AVERAGE(M7,O7)*Metodologia!$B$16)</x:f>
        <x:v>94.02127418834527</x:v>
      </x:c>
      <x:c r="T7" s="82" t="str">
        <x:v>Sim</x:v>
      </x:c>
      <x:c r="U7" s="82" t="str">
        <x:v>Rankeado</x:v>
      </x:c>
      <x:c r="V7" s="82" t="str">
        <x:v>Perfil físico; melhor atributo ofensivo 125, ofensiva secundária 40, robustez relativa 61% e Speed 85. O índice privilegia dano de hunt, sem ignorar sobrevivência.</x:v>
      </x:c>
      <x:c r="W7" s="82" t="str">
        <x:v>Fica atrás de Machamp principalmente por ofensiva secundária 38.5% menor e teto ofensivo 3.8% menor.</x:v>
      </x:c>
      <x:c r="X7" s="82" t="str">
        <x:v>Fica à frente de Snorlax porque possui teto ofensivo 13.6% maior e velocidade 183.3% maior.</x:v>
      </x:c>
      <x:c r="Y7" s="154" t="str">
        <x:v>https://poke.idleworld.online/pokepedia/pokemon/heracross</x:v>
      </x:c>
    </x:row>
    <x:row r="8" ht="48" customHeight="1">
      <x:c r="A8" s="82" t="n">
        <x:f>IF(U8&lt;&gt;"Rankeado","",COUNTIFS($U$5:$U$52,"Rankeado",$I$5:$I$52,"&gt;"&amp;I8)+COUNTIFS($U$5:U8,"Rankeado",$I$5:I8,I8))</x:f>
        <x:v>4</x:v>
      </x:c>
      <x:c r="B8" s="82" t="n">
        <x:f>COUNTIF($I$5:$I$52,"&gt;"&amp;I8)+COUNTIF($I$5:I8,I8)</x:f>
        <x:v>4</x:v>
      </x:c>
      <x:c r="C8" s="82" t="str">
        <x:f>IF(I8&gt;=80,"S+",IF(I8&gt;=72,"S",IF(I8&gt;=65,"A",IF(I8&gt;=58,"B",IF(I8&gt;=50,"C",IF(I8&gt;=42,"D","E"))))))</x:f>
        <x:v>A</x:v>
      </x:c>
      <x:c r="D8" s="82" t="str">
        <x:f>IF(AND(U8="Rankeado",A8&lt;=6),"Sim","Não")</x:f>
        <x:v>Sim</x:v>
      </x:c>
      <x:c r="E8" s="82" t="n">
        <x:v>143</x:v>
      </x:c>
      <x:c r="F8" s="80" t="str">
        <x:v>Snorlax</x:v>
      </x:c>
      <x:c r="G8" s="82" t="str">
        <x:v>Normal</x:v>
      </x:c>
      <x:c r="H8" s="82" t="str">
        <x:v>Físico</x:v>
      </x:c>
      <x:c r="I8" s="142" t="n">
        <x:f>ROUND(100*(Metodologia!$B$17*(Q8/Metodologia!$B$22)+Metodologia!$B$18*(R8/Metodologia!$B$23)+Metodologia!$B$19*(S8/Metodologia!$B$24)+Metodologia!$B$20*(P8/Metodologia!$B$25)+Metodologia!$B$21*(J8/Metodologia!$B$26)),2)</x:f>
        <x:v>67.79</x:v>
      </x:c>
      <x:c r="J8" s="82" t="n">
        <x:f>SUM(K8:P8)</x:f>
        <x:v>540</x:v>
      </x:c>
      <x:c r="K8" s="82" t="n">
        <x:v>160</x:v>
      </x:c>
      <x:c r="L8" s="82" t="n">
        <x:v>110</x:v>
      </x:c>
      <x:c r="M8" s="82" t="n">
        <x:v>65</x:v>
      </x:c>
      <x:c r="N8" s="82" t="n">
        <x:v>65</x:v>
      </x:c>
      <x:c r="O8" s="82" t="n">
        <x:v>110</x:v>
      </x:c>
      <x:c r="P8" s="82" t="n">
        <x:v>30</x:v>
      </x:c>
      <x:c r="Q8" s="143" t="n">
        <x:f>MAX(L8,N8)*Metodologia!$B$16</x:f>
        <x:v>143</x:v>
      </x:c>
      <x:c r="R8" s="143" t="n">
        <x:f>MIN(L8,N8)*Metodologia!$B$16</x:f>
        <x:v>84.5</x:v>
      </x:c>
      <x:c r="S8" s="143" t="n">
        <x:f>SQRT(K8*AVERAGE(M8,O8)*Metodologia!$B$16)</x:f>
        <x:v>134.90737563232042</x:v>
      </x:c>
      <x:c r="T8" s="82" t="str">
        <x:v>Sim</x:v>
      </x:c>
      <x:c r="U8" s="82" t="str">
        <x:v>Rankeado</x:v>
      </x:c>
      <x:c r="V8" s="82" t="str">
        <x:v>Perfil físico; melhor atributo ofensivo 110, ofensiva secundária 65, robustez relativa 87% e Speed 30. O índice privilegia dano de hunt, sem ignorar sobrevivência.</x:v>
      </x:c>
      <x:c r="W8" s="82" t="str">
        <x:v>Fica atrás de Heracross principalmente por teto ofensivo 12.0% menor e velocidade 64.7% menor.</x:v>
      </x:c>
      <x:c r="X8" s="82" t="str">
        <x:v>Fica à frente de Hitmonlee porque possui robustez sustentada 85.4% maior e ofensiva secundária 85.7% maior.</x:v>
      </x:c>
      <x:c r="Y8" s="154" t="str">
        <x:v>https://poke.idleworld.online/pokepedia/pokemon/snorlax</x:v>
      </x:c>
    </x:row>
    <x:row r="9" ht="48" customHeight="1">
      <x:c r="A9" s="82" t="n">
        <x:f>IF(U9&lt;&gt;"Rankeado","",COUNTIFS($U$5:$U$52,"Rankeado",$I$5:$I$52,"&gt;"&amp;I9)+COUNTIFS($U$5:U9,"Rankeado",$I$5:I9,I9))</x:f>
        <x:v>5</x:v>
      </x:c>
      <x:c r="B9" s="82" t="n">
        <x:f>COUNTIF($I$5:$I$52,"&gt;"&amp;I9)+COUNTIF($I$5:I9,I9)</x:f>
        <x:v>5</x:v>
      </x:c>
      <x:c r="C9" s="82" t="str">
        <x:f>IF(I9&gt;=80,"S+",IF(I9&gt;=72,"S",IF(I9&gt;=65,"A",IF(I9&gt;=58,"B",IF(I9&gt;=50,"C",IF(I9&gt;=42,"D","E"))))))</x:f>
        <x:v>A</x:v>
      </x:c>
      <x:c r="D9" s="82" t="str">
        <x:f>IF(AND(U9="Rankeado",A9&lt;=6),"Sim","Não")</x:f>
        <x:v>Sim</x:v>
      </x:c>
      <x:c r="E9" s="82" t="n">
        <x:v>106</x:v>
      </x:c>
      <x:c r="F9" s="80" t="str">
        <x:v>Hitmonlee</x:v>
      </x:c>
      <x:c r="G9" s="82" t="str">
        <x:v>Lutador</x:v>
      </x:c>
      <x:c r="H9" s="82" t="str">
        <x:v>Físico</x:v>
      </x:c>
      <x:c r="I9" s="142" t="n">
        <x:f>ROUND(100*(Metodologia!$B$17*(Q9/Metodologia!$B$22)+Metodologia!$B$18*(R9/Metodologia!$B$23)+Metodologia!$B$19*(S9/Metodologia!$B$24)+Metodologia!$B$20*(P9/Metodologia!$B$25)+Metodologia!$B$21*(J9/Metodologia!$B$26)),2)</x:f>
        <x:v>66.12</x:v>
      </x:c>
      <x:c r="J9" s="82" t="n">
        <x:f>SUM(K9:P9)</x:f>
        <x:v>455</x:v>
      </x:c>
      <x:c r="K9" s="82" t="n">
        <x:v>50</x:v>
      </x:c>
      <x:c r="L9" s="82" t="n">
        <x:v>120</x:v>
      </x:c>
      <x:c r="M9" s="82" t="n">
        <x:v>53</x:v>
      </x:c>
      <x:c r="N9" s="82" t="n">
        <x:v>35</x:v>
      </x:c>
      <x:c r="O9" s="82" t="n">
        <x:v>110</x:v>
      </x:c>
      <x:c r="P9" s="82" t="n">
        <x:v>87</x:v>
      </x:c>
      <x:c r="Q9" s="143" t="n">
        <x:f>MAX(L9,N9)*Metodologia!$B$16</x:f>
        <x:v>156</x:v>
      </x:c>
      <x:c r="R9" s="143" t="n">
        <x:f>MIN(L9,N9)*Metodologia!$B$16</x:f>
        <x:v>45.5</x:v>
      </x:c>
      <x:c r="S9" s="143" t="n">
        <x:f>SQRT(K9*AVERAGE(M9,O9)*Metodologia!$B$16)</x:f>
        <x:v>72.78392679706145</x:v>
      </x:c>
      <x:c r="T9" s="82" t="str">
        <x:v>Sim</x:v>
      </x:c>
      <x:c r="U9" s="82" t="str">
        <x:v>Rankeado</x:v>
      </x:c>
      <x:c r="V9" s="82" t="str">
        <x:v>Perfil físico; melhor atributo ofensivo 120, ofensiva secundária 35, robustez relativa 47% e Speed 87. O índice privilegia dano de hunt, sem ignorar sobrevivência.</x:v>
      </x:c>
      <x:c r="W9" s="82" t="str">
        <x:v>Fica atrás de Snorlax principalmente por robustez sustentada 46.0% menor e ofensiva secundária 46.2% menor.</x:v>
      </x:c>
      <x:c r="X9" s="82" t="str">
        <x:v>Fica à frente de Dodrio porque possui teto ofensivo 9.1% maior e robustez sustentada 2.2% maior.</x:v>
      </x:c>
      <x:c r="Y9" s="154" t="str">
        <x:v>https://poke.idleworld.online/pokepedia/pokemon/hitmonlee</x:v>
      </x:c>
    </x:row>
    <x:row r="10" ht="48" customHeight="1">
      <x:c r="A10" s="82" t="n">
        <x:f>IF(U10&lt;&gt;"Rankeado","",COUNTIFS($U$5:$U$52,"Rankeado",$I$5:$I$52,"&gt;"&amp;I10)+COUNTIFS($U$5:U10,"Rankeado",$I$5:I10,I10))</x:f>
        <x:v>6</x:v>
      </x:c>
      <x:c r="B10" s="82" t="n">
        <x:f>COUNTIF($I$5:$I$52,"&gt;"&amp;I10)+COUNTIF($I$5:I10,I10)</x:f>
        <x:v>6</x:v>
      </x:c>
      <x:c r="C10" s="82" t="str">
        <x:f>IF(I10&gt;=80,"S+",IF(I10&gt;=72,"S",IF(I10&gt;=65,"A",IF(I10&gt;=58,"B",IF(I10&gt;=50,"C",IF(I10&gt;=42,"D","E"))))))</x:f>
        <x:v>A</x:v>
      </x:c>
      <x:c r="D10" s="82" t="str">
        <x:f>IF(AND(U10="Rankeado",A10&lt;=6),"Sim","Não")</x:f>
        <x:v>Sim</x:v>
      </x:c>
      <x:c r="E10" s="82" t="n">
        <x:v>85</x:v>
      </x:c>
      <x:c r="F10" s="80" t="str">
        <x:v>Dodrio</x:v>
      </x:c>
      <x:c r="G10" s="82" t="str">
        <x:v>Normal / Voador</x:v>
      </x:c>
      <x:c r="H10" s="82" t="str">
        <x:v>Físico</x:v>
      </x:c>
      <x:c r="I10" s="142" t="n">
        <x:f>ROUND(100*(Metodologia!$B$17*(Q10/Metodologia!$B$22)+Metodologia!$B$18*(R10/Metodologia!$B$23)+Metodologia!$B$19*(S10/Metodologia!$B$24)+Metodologia!$B$20*(P10/Metodologia!$B$25)+Metodologia!$B$21*(J10/Metodologia!$B$26)),2)</x:f>
        <x:v>65.99</x:v>
      </x:c>
      <x:c r="J10" s="82" t="n">
        <x:f>SUM(K10:P10)</x:f>
        <x:v>470</x:v>
      </x:c>
      <x:c r="K10" s="82" t="n">
        <x:v>60</x:v>
      </x:c>
      <x:c r="L10" s="82" t="n">
        <x:v>110</x:v>
      </x:c>
      <x:c r="M10" s="82" t="n">
        <x:v>70</x:v>
      </x:c>
      <x:c r="N10" s="82" t="n">
        <x:v>60</x:v>
      </x:c>
      <x:c r="O10" s="82" t="n">
        <x:v>60</x:v>
      </x:c>
      <x:c r="P10" s="82" t="n">
        <x:v>110</x:v>
      </x:c>
      <x:c r="Q10" s="143" t="n">
        <x:f>MAX(L10,N10)*Metodologia!$B$16</x:f>
        <x:v>143</x:v>
      </x:c>
      <x:c r="R10" s="143" t="n">
        <x:f>MIN(L10,N10)*Metodologia!$B$16</x:f>
        <x:v>78</x:v>
      </x:c>
      <x:c r="S10" s="143" t="n">
        <x:f>SQRT(K10*AVERAGE(M10,O10)*Metodologia!$B$16)</x:f>
        <x:v>71.20393247567159</x:v>
      </x:c>
      <x:c r="T10" s="82" t="str">
        <x:v>Sim</x:v>
      </x:c>
      <x:c r="U10" s="82" t="str">
        <x:v>Rankeado</x:v>
      </x:c>
      <x:c r="V10" s="82" t="str">
        <x:v>Perfil físico; melhor atributo ofensivo 110, ofensiva secundária 60, robustez relativa 46% e Speed 110. O índice privilegia dano de hunt, sem ignorar sobrevivência.</x:v>
      </x:c>
      <x:c r="W10" s="82" t="str">
        <x:v>Fica atrás de Hitmonlee principalmente por teto ofensivo 8.3% menor e robustez sustentada 2.2% menor.</x:v>
      </x:c>
      <x:c r="X10" s="82" t="str">
        <x:v>Fica à frente de Porygon2 porque possui velocidade 83.3% maior e teto ofensivo 4.8% maior.</x:v>
      </x:c>
      <x:c r="Y10" s="154" t="str">
        <x:v>https://poke.idleworld.online/pokepedia/pokemon/dodrio</x:v>
      </x:c>
    </x:row>
    <x:row r="11" ht="48" customHeight="1">
      <x:c r="A11" s="82" t="n">
        <x:f>IF(U11&lt;&gt;"Rankeado","",COUNTIFS($U$5:$U$52,"Rankeado",$I$5:$I$52,"&gt;"&amp;I11)+COUNTIFS($U$5:U11,"Rankeado",$I$5:I11,I11))</x:f>
        <x:v>7</x:v>
      </x:c>
      <x:c r="B11" s="82" t="n">
        <x:f>COUNTIF($I$5:$I$52,"&gt;"&amp;I11)+COUNTIF($I$5:I11,I11)</x:f>
        <x:v>7</x:v>
      </x:c>
      <x:c r="C11" s="82" t="str">
        <x:f>IF(I11&gt;=80,"S+",IF(I11&gt;=72,"S",IF(I11&gt;=65,"A",IF(I11&gt;=58,"B",IF(I11&gt;=50,"C",IF(I11&gt;=42,"D","E"))))))</x:f>
        <x:v>A</x:v>
      </x:c>
      <x:c r="D11" s="82" t="str">
        <x:f>IF(AND(U11="Rankeado",A11&lt;=6),"Sim","Não")</x:f>
        <x:v>Não</x:v>
      </x:c>
      <x:c r="E11" s="82" t="n">
        <x:v>233</x:v>
      </x:c>
      <x:c r="F11" s="80" t="str">
        <x:v>Porygon2</x:v>
      </x:c>
      <x:c r="G11" s="82" t="str">
        <x:v>Normal</x:v>
      </x:c>
      <x:c r="H11" s="82" t="str">
        <x:v>Especial</x:v>
      </x:c>
      <x:c r="I11" s="142" t="n">
        <x:f>ROUND(100*(Metodologia!$B$17*(Q11/Metodologia!$B$22)+Metodologia!$B$18*(R11/Metodologia!$B$23)+Metodologia!$B$19*(S11/Metodologia!$B$24)+Metodologia!$B$20*(P11/Metodologia!$B$25)+Metodologia!$B$21*(J11/Metodologia!$B$26)),2)</x:f>
        <x:v>65.75</x:v>
      </x:c>
      <x:c r="J11" s="82" t="n">
        <x:f>SUM(K11:P11)</x:f>
        <x:v>515</x:v>
      </x:c>
      <x:c r="K11" s="82" t="n">
        <x:v>85</x:v>
      </x:c>
      <x:c r="L11" s="82" t="n">
        <x:v>80</x:v>
      </x:c>
      <x:c r="M11" s="82" t="n">
        <x:v>90</x:v>
      </x:c>
      <x:c r="N11" s="82" t="n">
        <x:v>105</x:v>
      </x:c>
      <x:c r="O11" s="82" t="n">
        <x:v>95</x:v>
      </x:c>
      <x:c r="P11" s="82" t="n">
        <x:v>60</x:v>
      </x:c>
      <x:c r="Q11" s="143" t="n">
        <x:f>MAX(L11,N11)*Metodologia!$B$16</x:f>
        <x:v>136.5</x:v>
      </x:c>
      <x:c r="R11" s="143" t="n">
        <x:f>MIN(L11,N11)*Metodologia!$B$16</x:f>
        <x:v>104</x:v>
      </x:c>
      <x:c r="S11" s="143" t="n">
        <x:f>SQRT(K11*AVERAGE(M11,O11)*Metodologia!$B$16)</x:f>
        <x:v>101.10019782374316</x:v>
      </x:c>
      <x:c r="T11" s="82" t="str">
        <x:v>Não</x:v>
      </x:c>
      <x:c r="U11" s="82" t="str">
        <x:v>Rankeado</x:v>
      </x:c>
      <x:c r="V11" s="82" t="str">
        <x:v>Perfil especial; melhor atributo ofensivo 105, ofensiva secundária 80, robustez relativa 65% e Speed 60. O índice privilegia dano de hunt, sem ignorar sobrevivência.</x:v>
      </x:c>
      <x:c r="W11" s="82" t="str">
        <x:v>Fica atrás de Dodrio principalmente por velocidade 45.5% menor e teto ofensivo 4.5% menor.</x:v>
      </x:c>
      <x:c r="X11" s="82" t="str">
        <x:v>Fica à frente de Primeape porque possui robustez sustentada 36.4% maior e ofensiva secundária 33.3% maior.</x:v>
      </x:c>
      <x:c r="Y11" s="154" t="str">
        <x:v>https://poke.idleworld.online/pokepedia/pokemon/porygon2</x:v>
      </x:c>
    </x:row>
    <x:row r="12" ht="48" customHeight="1">
      <x:c r="A12" s="82" t="n">
        <x:f>IF(U12&lt;&gt;"Rankeado","",COUNTIFS($U$5:$U$52,"Rankeado",$I$5:$I$52,"&gt;"&amp;I12)+COUNTIFS($U$5:U12,"Rankeado",$I$5:I12,I12))</x:f>
        <x:v>8</x:v>
      </x:c>
      <x:c r="B12" s="82" t="n">
        <x:f>COUNTIF($I$5:$I$52,"&gt;"&amp;I12)+COUNTIF($I$5:I12,I12)</x:f>
        <x:v>8</x:v>
      </x:c>
      <x:c r="C12" s="82" t="str">
        <x:f>IF(I12&gt;=80,"S+",IF(I12&gt;=72,"S",IF(I12&gt;=65,"A",IF(I12&gt;=58,"B",IF(I12&gt;=50,"C",IF(I12&gt;=42,"D","E"))))))</x:f>
        <x:v>B</x:v>
      </x:c>
      <x:c r="D12" s="82" t="str">
        <x:f>IF(AND(U12="Rankeado",A12&lt;=6),"Sim","Não")</x:f>
        <x:v>Não</x:v>
      </x:c>
      <x:c r="E12" s="82" t="n">
        <x:v>57</x:v>
      </x:c>
      <x:c r="F12" s="80" t="str">
        <x:v>Primeape</x:v>
      </x:c>
      <x:c r="G12" s="82" t="str">
        <x:v>Lutador</x:v>
      </x:c>
      <x:c r="H12" s="82" t="str">
        <x:v>Físico</x:v>
      </x:c>
      <x:c r="I12" s="142" t="n">
        <x:f>ROUND(100*(Metodologia!$B$17*(Q12/Metodologia!$B$22)+Metodologia!$B$18*(R12/Metodologia!$B$23)+Metodologia!$B$19*(S12/Metodologia!$B$24)+Metodologia!$B$20*(P12/Metodologia!$B$25)+Metodologia!$B$21*(J12/Metodologia!$B$26)),2)</x:f>
        <x:v>63.21</x:v>
      </x:c>
      <x:c r="J12" s="82" t="n">
        <x:f>SUM(K12:P12)</x:f>
        <x:v>455</x:v>
      </x:c>
      <x:c r="K12" s="82" t="n">
        <x:v>65</x:v>
      </x:c>
      <x:c r="L12" s="82" t="n">
        <x:v>105</x:v>
      </x:c>
      <x:c r="M12" s="82" t="n">
        <x:v>60</x:v>
      </x:c>
      <x:c r="N12" s="82" t="n">
        <x:v>60</x:v>
      </x:c>
      <x:c r="O12" s="82" t="n">
        <x:v>70</x:v>
      </x:c>
      <x:c r="P12" s="82" t="n">
        <x:v>95</x:v>
      </x:c>
      <x:c r="Q12" s="143" t="n">
        <x:f>MAX(L12,N12)*Metodologia!$B$16</x:f>
        <x:v>136.5</x:v>
      </x:c>
      <x:c r="R12" s="143" t="n">
        <x:f>MIN(L12,N12)*Metodologia!$B$16</x:f>
        <x:v>78</x:v>
      </x:c>
      <x:c r="S12" s="143" t="n">
        <x:f>SQRT(K12*AVERAGE(M12,O12)*Metodologia!$B$16)</x:f>
        <x:v>74.11140263144397</x:v>
      </x:c>
      <x:c r="T12" s="82" t="str">
        <x:v>Sim</x:v>
      </x:c>
      <x:c r="U12" s="82" t="str">
        <x:v>Rankeado</x:v>
      </x:c>
      <x:c r="V12" s="82" t="str">
        <x:v>Perfil físico; melhor atributo ofensivo 105, ofensiva secundária 60, robustez relativa 48% e Speed 95. O índice privilegia dano de hunt, sem ignorar sobrevivência.</x:v>
      </x:c>
      <x:c r="W12" s="82" t="str">
        <x:v>Fica atrás de Porygon2 principalmente por robustez sustentada 26.7% menor e ofensiva secundária 25.0% menor.</x:v>
      </x:c>
      <x:c r="X12" s="82" t="str">
        <x:v>Fica à frente de Tauros porque possui teto ofensivo 5.0% maior e ofensiva secundária 50.0% maior.</x:v>
      </x:c>
      <x:c r="Y12" s="154" t="str">
        <x:v>https://poke.idleworld.online/pokepedia/pokemon/primeape</x:v>
      </x:c>
    </x:row>
    <x:row r="13" ht="48" customHeight="1">
      <x:c r="A13" s="82" t="n">
        <x:f>IF(U13&lt;&gt;"Rankeado","",COUNTIFS($U$5:$U$52,"Rankeado",$I$5:$I$52,"&gt;"&amp;I13)+COUNTIFS($U$5:U13,"Rankeado",$I$5:I13,I13))</x:f>
        <x:v>9</x:v>
      </x:c>
      <x:c r="B13" s="82" t="n">
        <x:f>COUNTIF($I$5:$I$52,"&gt;"&amp;I13)+COUNTIF($I$5:I13,I13)</x:f>
        <x:v>9</x:v>
      </x:c>
      <x:c r="C13" s="82" t="str">
        <x:f>IF(I13&gt;=80,"S+",IF(I13&gt;=72,"S",IF(I13&gt;=65,"A",IF(I13&gt;=58,"B",IF(I13&gt;=50,"C",IF(I13&gt;=42,"D","E"))))))</x:f>
        <x:v>B</x:v>
      </x:c>
      <x:c r="D13" s="82" t="str">
        <x:f>IF(AND(U13="Rankeado",A13&lt;=6),"Sim","Não")</x:f>
        <x:v>Não</x:v>
      </x:c>
      <x:c r="E13" s="82" t="n">
        <x:v>128</x:v>
      </x:c>
      <x:c r="F13" s="80" t="str">
        <x:v>Tauros</x:v>
      </x:c>
      <x:c r="G13" s="82" t="str">
        <x:v>Normal</x:v>
      </x:c>
      <x:c r="H13" s="82" t="str">
        <x:v>Físico</x:v>
      </x:c>
      <x:c r="I13" s="142" t="n">
        <x:f>ROUND(100*(Metodologia!$B$17*(Q13/Metodologia!$B$22)+Metodologia!$B$18*(R13/Metodologia!$B$23)+Metodologia!$B$19*(S13/Metodologia!$B$24)+Metodologia!$B$20*(P13/Metodologia!$B$25)+Metodologia!$B$21*(J13/Metodologia!$B$26)),2)</x:f>
        <x:v>62.21</x:v>
      </x:c>
      <x:c r="J13" s="82" t="n">
        <x:f>SUM(K13:P13)</x:f>
        <x:v>490</x:v>
      </x:c>
      <x:c r="K13" s="82" t="n">
        <x:v>75</x:v>
      </x:c>
      <x:c r="L13" s="82" t="n">
        <x:v>100</x:v>
      </x:c>
      <x:c r="M13" s="82" t="n">
        <x:v>95</x:v>
      </x:c>
      <x:c r="N13" s="82" t="n">
        <x:v>40</x:v>
      </x:c>
      <x:c r="O13" s="82" t="n">
        <x:v>70</x:v>
      </x:c>
      <x:c r="P13" s="82" t="n">
        <x:v>110</x:v>
      </x:c>
      <x:c r="Q13" s="143" t="n">
        <x:f>MAX(L13,N13)*Metodologia!$B$16</x:f>
        <x:v>130</x:v>
      </x:c>
      <x:c r="R13" s="143" t="n">
        <x:f>MIN(L13,N13)*Metodologia!$B$16</x:f>
        <x:v>52</x:v>
      </x:c>
      <x:c r="S13" s="143" t="n">
        <x:f>SQRT(K13*AVERAGE(M13,O13)*Metodologia!$B$16)</x:f>
        <x:v>89.68695557326049</x:v>
      </x:c>
      <x:c r="T13" s="82" t="str">
        <x:v>Sim</x:v>
      </x:c>
      <x:c r="U13" s="82" t="str">
        <x:v>Rankeado</x:v>
      </x:c>
      <x:c r="V13" s="82" t="str">
        <x:v>Perfil físico; melhor atributo ofensivo 100, ofensiva secundária 40, robustez relativa 58% e Speed 110. O índice privilegia dano de hunt, sem ignorar sobrevivência.</x:v>
      </x:c>
      <x:c r="W13" s="82" t="str">
        <x:v>Fica atrás de Primeape principalmente por teto ofensivo 4.8% menor e ofensiva secundária 33.3% menor.</x:v>
      </x:c>
      <x:c r="X13" s="82" t="str">
        <x:v>Fica à frente de Poliwrath porque possui velocidade 57.1% maior e teto ofensivo 5.3% maior.</x:v>
      </x:c>
      <x:c r="Y13" s="154" t="str">
        <x:v>https://poke.idleworld.online/pokepedia/pokemon/tauros</x:v>
      </x:c>
    </x:row>
    <x:row r="14" ht="48" customHeight="1">
      <x:c r="A14" s="82" t="n">
        <x:f>IF(U14&lt;&gt;"Rankeado","",COUNTIFS($U$5:$U$52,"Rankeado",$I$5:$I$52,"&gt;"&amp;I14)+COUNTIFS($U$5:U14,"Rankeado",$I$5:I14,I14))</x:f>
        <x:v>10</x:v>
      </x:c>
      <x:c r="B14" s="82" t="n">
        <x:f>COUNTIF($I$5:$I$52,"&gt;"&amp;I14)+COUNTIF($I$5:I14,I14)</x:f>
        <x:v>10</x:v>
      </x:c>
      <x:c r="C14" s="82" t="str">
        <x:f>IF(I14&gt;=80,"S+",IF(I14&gt;=72,"S",IF(I14&gt;=65,"A",IF(I14&gt;=58,"B",IF(I14&gt;=50,"C",IF(I14&gt;=42,"D","E"))))))</x:f>
        <x:v>B</x:v>
      </x:c>
      <x:c r="D14" s="82" t="str">
        <x:f>IF(AND(U14="Rankeado",A14&lt;=6),"Sim","Não")</x:f>
        <x:v>Não</x:v>
      </x:c>
      <x:c r="E14" s="82" t="n">
        <x:v>62</x:v>
      </x:c>
      <x:c r="F14" s="80" t="str">
        <x:v>Poliwrath</x:v>
      </x:c>
      <x:c r="G14" s="82" t="str">
        <x:v>Água / Lutador</x:v>
      </x:c>
      <x:c r="H14" s="82" t="str">
        <x:v>Físico</x:v>
      </x:c>
      <x:c r="I14" s="142" t="n">
        <x:f>ROUND(100*(Metodologia!$B$17*(Q14/Metodologia!$B$22)+Metodologia!$B$18*(R14/Metodologia!$B$23)+Metodologia!$B$19*(S14/Metodologia!$B$24)+Metodologia!$B$20*(P14/Metodologia!$B$25)+Metodologia!$B$21*(J14/Metodologia!$B$26)),2)</x:f>
        <x:v>61.86</x:v>
      </x:c>
      <x:c r="J14" s="82" t="n">
        <x:f>SUM(K14:P14)</x:f>
        <x:v>510</x:v>
      </x:c>
      <x:c r="K14" s="82" t="n">
        <x:v>90</x:v>
      </x:c>
      <x:c r="L14" s="82" t="n">
        <x:v>95</x:v>
      </x:c>
      <x:c r="M14" s="82" t="n">
        <x:v>95</x:v>
      </x:c>
      <x:c r="N14" s="82" t="n">
        <x:v>70</x:v>
      </x:c>
      <x:c r="O14" s="82" t="n">
        <x:v>90</x:v>
      </x:c>
      <x:c r="P14" s="82" t="n">
        <x:v>70</x:v>
      </x:c>
      <x:c r="Q14" s="143" t="n">
        <x:f>MAX(L14,N14)*Metodologia!$B$16</x:f>
        <x:v>123.5</x:v>
      </x:c>
      <x:c r="R14" s="143" t="n">
        <x:f>MIN(L14,N14)*Metodologia!$B$16</x:f>
        <x:v>91</x:v>
      </x:c>
      <x:c r="S14" s="143" t="n">
        <x:f>SQRT(K14*AVERAGE(M14,O14)*Metodologia!$B$16)</x:f>
        <x:v>104.03124530639822</x:v>
      </x:c>
      <x:c r="T14" s="82" t="str">
        <x:v>Sim</x:v>
      </x:c>
      <x:c r="U14" s="82" t="str">
        <x:v>Rankeado</x:v>
      </x:c>
      <x:c r="V14" s="82" t="str">
        <x:v>Perfil físico; melhor atributo ofensivo 95, ofensiva secundária 70, robustez relativa 67% e Speed 70. O índice privilegia dano de hunt, sem ignorar sobrevivência.</x:v>
      </x:c>
      <x:c r="W14" s="82" t="str">
        <x:v>Fica atrás de Tauros principalmente por velocidade 36.4% menor e teto ofensivo 5.0% menor.</x:v>
      </x:c>
      <x:c r="X14" s="82" t="str">
        <x:v>Fica à frente de Stantler porque possui robustez sustentada 34.0% maior e total de stats 9.7% maior.</x:v>
      </x:c>
      <x:c r="Y14" s="154" t="str">
        <x:v>https://poke.idleworld.online/pokepedia/pokemon/poliwrath</x:v>
      </x:c>
    </x:row>
    <x:row r="15" ht="48" customHeight="1">
      <x:c r="A15" s="82" t="n">
        <x:f>IF(U15&lt;&gt;"Rankeado","",COUNTIFS($U$5:$U$52,"Rankeado",$I$5:$I$52,"&gt;"&amp;I15)+COUNTIFS($U$5:U15,"Rankeado",$I$5:I15,I15))</x:f>
        <x:v>11</x:v>
      </x:c>
      <x:c r="B15" s="82" t="n">
        <x:f>COUNTIF($I$5:$I$52,"&gt;"&amp;I15)+COUNTIF($I$5:I15,I15)</x:f>
        <x:v>11</x:v>
      </x:c>
      <x:c r="C15" s="82" t="str">
        <x:f>IF(I15&gt;=80,"S+",IF(I15&gt;=72,"S",IF(I15&gt;=65,"A",IF(I15&gt;=58,"B",IF(I15&gt;=50,"C",IF(I15&gt;=42,"D","E"))))))</x:f>
        <x:v>B</x:v>
      </x:c>
      <x:c r="D15" s="82" t="str">
        <x:f>IF(AND(U15="Rankeado",A15&lt;=6),"Sim","Não")</x:f>
        <x:v>Não</x:v>
      </x:c>
      <x:c r="E15" s="82" t="n">
        <x:v>234</x:v>
      </x:c>
      <x:c r="F15" s="80" t="str">
        <x:v>Stantler</x:v>
      </x:c>
      <x:c r="G15" s="82" t="str">
        <x:v>Normal</x:v>
      </x:c>
      <x:c r="H15" s="82" t="str">
        <x:v>Misto</x:v>
      </x:c>
      <x:c r="I15" s="142" t="n">
        <x:f>ROUND(100*(Metodologia!$B$17*(Q15/Metodologia!$B$22)+Metodologia!$B$18*(R15/Metodologia!$B$23)+Metodologia!$B$19*(S15/Metodologia!$B$24)+Metodologia!$B$20*(P15/Metodologia!$B$25)+Metodologia!$B$21*(J15/Metodologia!$B$26)),2)</x:f>
        <x:v>61.34</x:v>
      </x:c>
      <x:c r="J15" s="82" t="n">
        <x:f>SUM(K15:P15)</x:f>
        <x:v>465</x:v>
      </x:c>
      <x:c r="K15" s="82" t="n">
        <x:v>73</x:v>
      </x:c>
      <x:c r="L15" s="82" t="n">
        <x:v>95</x:v>
      </x:c>
      <x:c r="M15" s="82" t="n">
        <x:v>62</x:v>
      </x:c>
      <x:c r="N15" s="82" t="n">
        <x:v>85</x:v>
      </x:c>
      <x:c r="O15" s="82" t="n">
        <x:v>65</x:v>
      </x:c>
      <x:c r="P15" s="82" t="n">
        <x:v>85</x:v>
      </x:c>
      <x:c r="Q15" s="143" t="n">
        <x:f>MAX(L15,N15)*Metodologia!$B$16</x:f>
        <x:v>123.5</x:v>
      </x:c>
      <x:c r="R15" s="143" t="n">
        <x:f>MIN(L15,N15)*Metodologia!$B$16</x:f>
        <x:v>110.5</x:v>
      </x:c>
      <x:c r="S15" s="143" t="n">
        <x:f>SQRT(K15*AVERAGE(M15,O15)*Metodologia!$B$16)</x:f>
        <x:v>77.62828092905318</x:v>
      </x:c>
      <x:c r="T15" s="82" t="str">
        <x:v>Não</x:v>
      </x:c>
      <x:c r="U15" s="82" t="str">
        <x:v>Rankeado</x:v>
      </x:c>
      <x:c r="V15" s="82" t="str">
        <x:v>Perfil misto; melhor atributo ofensivo 95, ofensiva secundária 85, robustez relativa 50% e Speed 85. O índice privilegia dano de hunt, sem ignorar sobrevivência.</x:v>
      </x:c>
      <x:c r="W15" s="82" t="str">
        <x:v>Fica atrás de Poliwrath principalmente por robustez sustentada 25.4% menor e total de stats 8.8% menor.</x:v>
      </x:c>
      <x:c r="X15" s="82" t="str">
        <x:v>Fica à frente de Kangaskhan porque possui ofensiva secundária 112.5% maior.</x:v>
      </x:c>
      <x:c r="Y15" s="154" t="str">
        <x:v>https://poke.idleworld.online/pokepedia/pokemon/stantler</x:v>
      </x:c>
    </x:row>
    <x:row r="16" ht="48" customHeight="1">
      <x:c r="A16" s="82" t="n">
        <x:f>IF(U16&lt;&gt;"Rankeado","",COUNTIFS($U$5:$U$52,"Rankeado",$I$5:$I$52,"&gt;"&amp;I16)+COUNTIFS($U$5:U16,"Rankeado",$I$5:I16,I16))</x:f>
        <x:v>12</x:v>
      </x:c>
      <x:c r="B16" s="82" t="n">
        <x:f>COUNTIF($I$5:$I$52,"&gt;"&amp;I16)+COUNTIF($I$5:I16,I16)</x:f>
        <x:v>12</x:v>
      </x:c>
      <x:c r="C16" s="82" t="str">
        <x:f>IF(I16&gt;=80,"S+",IF(I16&gt;=72,"S",IF(I16&gt;=65,"A",IF(I16&gt;=58,"B",IF(I16&gt;=50,"C",IF(I16&gt;=42,"D","E"))))))</x:f>
        <x:v>B</x:v>
      </x:c>
      <x:c r="D16" s="82" t="str">
        <x:f>IF(AND(U16="Rankeado",A16&lt;=6),"Sim","Não")</x:f>
        <x:v>Não</x:v>
      </x:c>
      <x:c r="E16" s="82" t="n">
        <x:v>115</x:v>
      </x:c>
      <x:c r="F16" s="80" t="str">
        <x:v>Kangaskhan</x:v>
      </x:c>
      <x:c r="G16" s="82" t="str">
        <x:v>Normal</x:v>
      </x:c>
      <x:c r="H16" s="82" t="str">
        <x:v>Físico</x:v>
      </x:c>
      <x:c r="I16" s="142" t="n">
        <x:f>ROUND(100*(Metodologia!$B$17*(Q16/Metodologia!$B$22)+Metodologia!$B$18*(R16/Metodologia!$B$23)+Metodologia!$B$19*(S16/Metodologia!$B$24)+Metodologia!$B$20*(P16/Metodologia!$B$25)+Metodologia!$B$21*(J16/Metodologia!$B$26)),2)</x:f>
        <x:v>60.36</x:v>
      </x:c>
      <x:c r="J16" s="82" t="n">
        <x:f>SUM(K16:P16)</x:f>
        <x:v>490</x:v>
      </x:c>
      <x:c r="K16" s="82" t="n">
        <x:v>105</x:v>
      </x:c>
      <x:c r="L16" s="82" t="n">
        <x:v>95</x:v>
      </x:c>
      <x:c r="M16" s="82" t="n">
        <x:v>80</x:v>
      </x:c>
      <x:c r="N16" s="82" t="n">
        <x:v>40</x:v>
      </x:c>
      <x:c r="O16" s="82" t="n">
        <x:v>80</x:v>
      </x:c>
      <x:c r="P16" s="82" t="n">
        <x:v>90</x:v>
      </x:c>
      <x:c r="Q16" s="143" t="n">
        <x:f>MAX(L16,N16)*Metodologia!$B$16</x:f>
        <x:v>123.5</x:v>
      </x:c>
      <x:c r="R16" s="143" t="n">
        <x:f>MIN(L16,N16)*Metodologia!$B$16</x:f>
        <x:v>52</x:v>
      </x:c>
      <x:c r="S16" s="143" t="n">
        <x:f>SQRT(K16*AVERAGE(M16,O16)*Metodologia!$B$16)</x:f>
        <x:v>104.49880382090505</x:v>
      </x:c>
      <x:c r="T16" s="82" t="str">
        <x:v>Sim</x:v>
      </x:c>
      <x:c r="U16" s="82" t="str">
        <x:v>Rankeado</x:v>
      </x:c>
      <x:c r="V16" s="82" t="str">
        <x:v>Perfil físico; melhor atributo ofensivo 95, ofensiva secundária 40, robustez relativa 67% e Speed 90. O índice privilegia dano de hunt, sem ignorar sobrevivência.</x:v>
      </x:c>
      <x:c r="W16" s="82" t="str">
        <x:v>Fica atrás de Stantler principalmente por ofensiva secundária 52.9% menor.</x:v>
      </x:c>
      <x:c r="X16" s="82" t="str">
        <x:v>Fica à frente de Hitmonchan porque possui robustez sustentada 33.3% maior e velocidade 18.4% maior.</x:v>
      </x:c>
      <x:c r="Y16" s="154" t="str">
        <x:v>https://poke.idleworld.online/pokepedia/pokemon/kangaskhan</x:v>
      </x:c>
    </x:row>
    <x:row r="17" ht="48" customHeight="1">
      <x:c r="A17" s="82" t="n">
        <x:f>IF(U17&lt;&gt;"Rankeado","",COUNTIFS($U$5:$U$52,"Rankeado",$I$5:$I$52,"&gt;"&amp;I17)+COUNTIFS($U$5:U17,"Rankeado",$I$5:I17,I17))</x:f>
        <x:v>13</x:v>
      </x:c>
      <x:c r="B17" s="82" t="n">
        <x:f>COUNTIF($I$5:$I$52,"&gt;"&amp;I17)+COUNTIF($I$5:I17,I17)</x:f>
        <x:v>13</x:v>
      </x:c>
      <x:c r="C17" s="82" t="str">
        <x:f>IF(I17&gt;=80,"S+",IF(I17&gt;=72,"S",IF(I17&gt;=65,"A",IF(I17&gt;=58,"B",IF(I17&gt;=50,"C",IF(I17&gt;=42,"D","E"))))))</x:f>
        <x:v>B</x:v>
      </x:c>
      <x:c r="D17" s="82" t="str">
        <x:f>IF(AND(U17="Rankeado",A17&lt;=6),"Sim","Não")</x:f>
        <x:v>Não</x:v>
      </x:c>
      <x:c r="E17" s="82" t="n">
        <x:v>107</x:v>
      </x:c>
      <x:c r="F17" s="80" t="str">
        <x:v>Hitmonchan</x:v>
      </x:c>
      <x:c r="G17" s="82" t="str">
        <x:v>Lutador</x:v>
      </x:c>
      <x:c r="H17" s="82" t="str">
        <x:v>Físico</x:v>
      </x:c>
      <x:c r="I17" s="142" t="n">
        <x:f>ROUND(100*(Metodologia!$B$17*(Q17/Metodologia!$B$22)+Metodologia!$B$18*(R17/Metodologia!$B$23)+Metodologia!$B$19*(S17/Metodologia!$B$24)+Metodologia!$B$20*(P17/Metodologia!$B$25)+Metodologia!$B$21*(J17/Metodologia!$B$26)),2)</x:f>
        <x:v>60.09</x:v>
      </x:c>
      <x:c r="J17" s="82" t="n">
        <x:f>SUM(K17:P17)</x:f>
        <x:v>455</x:v>
      </x:c>
      <x:c r="K17" s="82" t="n">
        <x:v>50</x:v>
      </x:c>
      <x:c r="L17" s="82" t="n">
        <x:v>105</x:v>
      </x:c>
      <x:c r="M17" s="82" t="n">
        <x:v>79</x:v>
      </x:c>
      <x:c r="N17" s="82" t="n">
        <x:v>35</x:v>
      </x:c>
      <x:c r="O17" s="82" t="n">
        <x:v>110</x:v>
      </x:c>
      <x:c r="P17" s="82" t="n">
        <x:v>76</x:v>
      </x:c>
      <x:c r="Q17" s="143" t="n">
        <x:f>MAX(L17,N17)*Metodologia!$B$16</x:f>
        <x:v>136.5</x:v>
      </x:c>
      <x:c r="R17" s="143" t="n">
        <x:f>MIN(L17,N17)*Metodologia!$B$16</x:f>
        <x:v>45.5</x:v>
      </x:c>
      <x:c r="S17" s="143" t="n">
        <x:f>SQRT(K17*AVERAGE(M17,O17)*Metodologia!$B$16)</x:f>
        <x:v>78.3741028656788</x:v>
      </x:c>
      <x:c r="T17" s="82" t="str">
        <x:v>Sim</x:v>
      </x:c>
      <x:c r="U17" s="82" t="str">
        <x:v>Rankeado</x:v>
      </x:c>
      <x:c r="V17" s="82" t="str">
        <x:v>Perfil físico; melhor atributo ofensivo 105, ofensiva secundária 35, robustez relativa 51% e Speed 76. O índice privilegia dano de hunt, sem ignorar sobrevivência.</x:v>
      </x:c>
      <x:c r="W17" s="82" t="str">
        <x:v>Fica atrás de Kangaskhan principalmente por robustez sustentada 25.0% menor e velocidade 15.6% menor.</x:v>
      </x:c>
      <x:c r="X17" s="82" t="str">
        <x:v>Fica à frente de Girafarig porque possui teto ofensivo 16.7% maior e robustez sustentada 1.9% maior.</x:v>
      </x:c>
      <x:c r="Y17" s="154" t="str">
        <x:v>https://poke.idleworld.online/pokepedia/pokemon/hitmonchan</x:v>
      </x:c>
    </x:row>
    <x:row r="18" ht="48" customHeight="1">
      <x:c r="A18" s="82" t="n">
        <x:f>IF(U18&lt;&gt;"Rankeado","",COUNTIFS($U$5:$U$52,"Rankeado",$I$5:$I$52,"&gt;"&amp;I18)+COUNTIFS($U$5:U18,"Rankeado",$I$5:I18,I18))</x:f>
        <x:v>14</x:v>
      </x:c>
      <x:c r="B18" s="82" t="n">
        <x:f>COUNTIF($I$5:$I$52,"&gt;"&amp;I18)+COUNTIF($I$5:I18,I18)</x:f>
        <x:v>14</x:v>
      </x:c>
      <x:c r="C18" s="82" t="str">
        <x:f>IF(I18&gt;=80,"S+",IF(I18&gt;=72,"S",IF(I18&gt;=65,"A",IF(I18&gt;=58,"B",IF(I18&gt;=50,"C",IF(I18&gt;=42,"D","E"))))))</x:f>
        <x:v>B</x:v>
      </x:c>
      <x:c r="D18" s="82" t="str">
        <x:f>IF(AND(U18="Rankeado",A18&lt;=6),"Sim","Não")</x:f>
        <x:v>Não</x:v>
      </x:c>
      <x:c r="E18" s="82" t="n">
        <x:v>203</x:v>
      </x:c>
      <x:c r="F18" s="80" t="str">
        <x:v>Girafarig</x:v>
      </x:c>
      <x:c r="G18" s="82" t="str">
        <x:v>Normal / Psíquico</x:v>
      </x:c>
      <x:c r="H18" s="82" t="str">
        <x:v>Misto</x:v>
      </x:c>
      <x:c r="I18" s="142" t="n">
        <x:f>ROUND(100*(Metodologia!$B$17*(Q18/Metodologia!$B$22)+Metodologia!$B$18*(R18/Metodologia!$B$23)+Metodologia!$B$19*(S18/Metodologia!$B$24)+Metodologia!$B$20*(P18/Metodologia!$B$25)+Metodologia!$B$21*(J18/Metodologia!$B$26)),2)</x:f>
        <x:v>58.79</x:v>
      </x:c>
      <x:c r="J18" s="82" t="n">
        <x:f>SUM(K18:P18)</x:f>
        <x:v>455</x:v>
      </x:c>
      <x:c r="K18" s="82" t="n">
        <x:v>70</x:v>
      </x:c>
      <x:c r="L18" s="82" t="n">
        <x:v>80</x:v>
      </x:c>
      <x:c r="M18" s="82" t="n">
        <x:v>65</x:v>
      </x:c>
      <x:c r="N18" s="82" t="n">
        <x:v>90</x:v>
      </x:c>
      <x:c r="O18" s="82" t="n">
        <x:v>65</x:v>
      </x:c>
      <x:c r="P18" s="82" t="n">
        <x:v>85</x:v>
      </x:c>
      <x:c r="Q18" s="143" t="n">
        <x:f>MAX(L18,N18)*Metodologia!$B$16</x:f>
        <x:v>117</x:v>
      </x:c>
      <x:c r="R18" s="143" t="n">
        <x:f>MIN(L18,N18)*Metodologia!$B$16</x:f>
        <x:v>104</x:v>
      </x:c>
      <x:c r="S18" s="143" t="n">
        <x:f>SQRT(K18*AVERAGE(M18,O18)*Metodologia!$B$16)</x:f>
        <x:v>76.909037180295</x:v>
      </x:c>
      <x:c r="T18" s="82" t="str">
        <x:v>Sim</x:v>
      </x:c>
      <x:c r="U18" s="82" t="str">
        <x:v>Rankeado</x:v>
      </x:c>
      <x:c r="V18" s="82" t="str">
        <x:v>Perfil misto; melhor atributo ofensivo 90, ofensiva secundária 80, robustez relativa 50% e Speed 85. O índice privilegia dano de hunt, sem ignorar sobrevivência.</x:v>
      </x:c>
      <x:c r="W18" s="82" t="str">
        <x:v>Fica atrás de Hitmonchan principalmente por teto ofensivo 14.3% menor e robustez sustentada 1.9% menor.</x:v>
      </x:c>
      <x:c r="X18" s="82" t="str">
        <x:v>Fica à frente de Fearow porque possui ofensiva secundária 31.1% maior e robustez sustentada 5.4% maior.</x:v>
      </x:c>
      <x:c r="Y18" s="154" t="str">
        <x:v>https://poke.idleworld.online/pokepedia/pokemon/girafarig</x:v>
      </x:c>
    </x:row>
    <x:row r="19" ht="48" customHeight="1">
      <x:c r="A19" s="82" t="n">
        <x:f>IF(U19&lt;&gt;"Rankeado","",COUNTIFS($U$5:$U$52,"Rankeado",$I$5:$I$52,"&gt;"&amp;I19)+COUNTIFS($U$5:U19,"Rankeado",$I$5:I19,I19))</x:f>
        <x:v>15</x:v>
      </x:c>
      <x:c r="B19" s="82" t="n">
        <x:f>COUNTIF($I$5:$I$52,"&gt;"&amp;I19)+COUNTIF($I$5:I19,I19)</x:f>
        <x:v>15</x:v>
      </x:c>
      <x:c r="C19" s="82" t="str">
        <x:f>IF(I19&gt;=80,"S+",IF(I19&gt;=72,"S",IF(I19&gt;=65,"A",IF(I19&gt;=58,"B",IF(I19&gt;=50,"C",IF(I19&gt;=42,"D","E"))))))</x:f>
        <x:v>C</x:v>
      </x:c>
      <x:c r="D19" s="82" t="str">
        <x:f>IF(AND(U19="Rankeado",A19&lt;=6),"Sim","Não")</x:f>
        <x:v>Não</x:v>
      </x:c>
      <x:c r="E19" s="82" t="n">
        <x:v>22</x:v>
      </x:c>
      <x:c r="F19" s="80" t="str">
        <x:v>Fearow</x:v>
      </x:c>
      <x:c r="G19" s="82" t="str">
        <x:v>Normal / Voador</x:v>
      </x:c>
      <x:c r="H19" s="82" t="str">
        <x:v>Físico</x:v>
      </x:c>
      <x:c r="I19" s="142" t="n">
        <x:f>ROUND(100*(Metodologia!$B$17*(Q19/Metodologia!$B$22)+Metodologia!$B$18*(R19/Metodologia!$B$23)+Metodologia!$B$19*(S19/Metodologia!$B$24)+Metodologia!$B$20*(P19/Metodologia!$B$25)+Metodologia!$B$21*(J19/Metodologia!$B$26)),2)</x:f>
        <x:v>57.59</x:v>
      </x:c>
      <x:c r="J19" s="82" t="n">
        <x:f>SUM(K19:P19)</x:f>
        <x:v>442</x:v>
      </x:c>
      <x:c r="K19" s="82" t="n">
        <x:v>65</x:v>
      </x:c>
      <x:c r="L19" s="82" t="n">
        <x:v>90</x:v>
      </x:c>
      <x:c r="M19" s="82" t="n">
        <x:v>65</x:v>
      </x:c>
      <x:c r="N19" s="82" t="n">
        <x:v>61</x:v>
      </x:c>
      <x:c r="O19" s="82" t="n">
        <x:v>61</x:v>
      </x:c>
      <x:c r="P19" s="82" t="n">
        <x:v>100</x:v>
      </x:c>
      <x:c r="Q19" s="143" t="n">
        <x:f>MAX(L19,N19)*Metodologia!$B$16</x:f>
        <x:v>117</x:v>
      </x:c>
      <x:c r="R19" s="143" t="n">
        <x:f>MIN(L19,N19)*Metodologia!$B$16</x:f>
        <x:v>79.3</x:v>
      </x:c>
      <x:c r="S19" s="143" t="n">
        <x:f>SQRT(K19*AVERAGE(M19,O19)*Metodologia!$B$16)</x:f>
        <x:v>72.96231904209186</x:v>
      </x:c>
      <x:c r="T19" s="82" t="str">
        <x:v>Sim</x:v>
      </x:c>
      <x:c r="U19" s="82" t="str">
        <x:v>Rankeado</x:v>
      </x:c>
      <x:c r="V19" s="82" t="str">
        <x:v>Perfil físico; melhor atributo ofensivo 90, ofensiva secundária 61, robustez relativa 47% e Speed 100. O índice privilegia dano de hunt, sem ignorar sobrevivência.</x:v>
      </x:c>
      <x:c r="W19" s="82" t="str">
        <x:v>Fica atrás de Girafarig principalmente por ofensiva secundária 23.8% menor e robustez sustentada 5.1% menor.</x:v>
      </x:c>
      <x:c r="X19" s="82" t="str">
        <x:v>Fica à frente de Machoke porque possui velocidade 122.2% maior e ofensiva secundária 22.0% maior.</x:v>
      </x:c>
      <x:c r="Y19" s="154" t="str">
        <x:v>https://poke.idleworld.online/pokepedia/pokemon/fearow</x:v>
      </x:c>
    </x:row>
    <x:row r="20" ht="48" customHeight="1">
      <x:c r="A20" s="82" t="n">
        <x:f>IF(U20&lt;&gt;"Rankeado","",COUNTIFS($U$5:$U$52,"Rankeado",$I$5:$I$52,"&gt;"&amp;I20)+COUNTIFS($U$5:U20,"Rankeado",$I$5:I20,I20))</x:f>
        <x:v>16</x:v>
      </x:c>
      <x:c r="B20" s="82" t="n">
        <x:f>COUNTIF($I$5:$I$52,"&gt;"&amp;I20)+COUNTIF($I$5:I20,I20)</x:f>
        <x:v>16</x:v>
      </x:c>
      <x:c r="C20" s="82" t="str">
        <x:f>IF(I20&gt;=80,"S+",IF(I20&gt;=72,"S",IF(I20&gt;=65,"A",IF(I20&gt;=58,"B",IF(I20&gt;=50,"C",IF(I20&gt;=42,"D","E"))))))</x:f>
        <x:v>C</x:v>
      </x:c>
      <x:c r="D20" s="82" t="str">
        <x:f>IF(AND(U20="Rankeado",A20&lt;=6),"Sim","Não")</x:f>
        <x:v>Não</x:v>
      </x:c>
      <x:c r="E20" s="82" t="n">
        <x:v>67</x:v>
      </x:c>
      <x:c r="F20" s="80" t="str">
        <x:v>Machoke</x:v>
      </x:c>
      <x:c r="G20" s="82" t="str">
        <x:v>Lutador</x:v>
      </x:c>
      <x:c r="H20" s="82" t="str">
        <x:v>Físico</x:v>
      </x:c>
      <x:c r="I20" s="142" t="n">
        <x:f>ROUND(100*(Metodologia!$B$17*(Q20/Metodologia!$B$22)+Metodologia!$B$18*(R20/Metodologia!$B$23)+Metodologia!$B$19*(S20/Metodologia!$B$24)+Metodologia!$B$20*(P20/Metodologia!$B$25)+Metodologia!$B$21*(J20/Metodologia!$B$26)),2)</x:f>
        <x:v>57.44</x:v>
      </x:c>
      <x:c r="J20" s="82" t="n">
        <x:f>SUM(K20:P20)</x:f>
        <x:v>405</x:v>
      </x:c>
      <x:c r="K20" s="82" t="n">
        <x:v>80</x:v>
      </x:c>
      <x:c r="L20" s="82" t="n">
        <x:v>100</x:v>
      </x:c>
      <x:c r="M20" s="82" t="n">
        <x:v>70</x:v>
      </x:c>
      <x:c r="N20" s="82" t="n">
        <x:v>50</x:v>
      </x:c>
      <x:c r="O20" s="82" t="n">
        <x:v>60</x:v>
      </x:c>
      <x:c r="P20" s="82" t="n">
        <x:v>45</x:v>
      </x:c>
      <x:c r="Q20" s="143" t="n">
        <x:f>MAX(L20,N20)*Metodologia!$B$16</x:f>
        <x:v>130</x:v>
      </x:c>
      <x:c r="R20" s="143" t="n">
        <x:f>MIN(L20,N20)*Metodologia!$B$16</x:f>
        <x:v>65</x:v>
      </x:c>
      <x:c r="S20" s="143" t="n">
        <x:f>SQRT(K20*AVERAGE(M20,O20)*Metodologia!$B$16)</x:f>
        <x:v>82.21921916437786</x:v>
      </x:c>
      <x:c r="T20" s="82" t="str">
        <x:v>Sim</x:v>
      </x:c>
      <x:c r="U20" s="82" t="str">
        <x:v>Rankeado</x:v>
      </x:c>
      <x:c r="V20" s="82" t="str">
        <x:v>Perfil físico; melhor atributo ofensivo 100, ofensiva secundária 50, robustez relativa 53% e Speed 45. O índice privilegia dano de hunt, sem ignorar sobrevivência.</x:v>
      </x:c>
      <x:c r="W20" s="82" t="str">
        <x:v>Fica atrás de Fearow principalmente por velocidade 55.0% menor e ofensiva secundária 18.0% menor.</x:v>
      </x:c>
      <x:c r="X20" s="82" t="str">
        <x:v>Fica à frente de Pidgeot porque possui teto ofensivo 25.0% maior.</x:v>
      </x:c>
      <x:c r="Y20" s="154" t="str">
        <x:v>https://poke.idleworld.online/pokepedia/pokemon/machoke</x:v>
      </x:c>
    </x:row>
    <x:row r="21" ht="48" customHeight="1">
      <x:c r="A21" s="82" t="n">
        <x:f>IF(U21&lt;&gt;"Rankeado","",COUNTIFS($U$5:$U$52,"Rankeado",$I$5:$I$52,"&gt;"&amp;I21)+COUNTIFS($U$5:U21,"Rankeado",$I$5:I21,I21))</x:f>
        <x:v>17</x:v>
      </x:c>
      <x:c r="B21" s="82" t="n">
        <x:f>COUNTIF($I$5:$I$52,"&gt;"&amp;I21)+COUNTIF($I$5:I21,I21)</x:f>
        <x:v>17</x:v>
      </x:c>
      <x:c r="C21" s="82" t="str">
        <x:f>IF(I21&gt;=80,"S+",IF(I21&gt;=72,"S",IF(I21&gt;=65,"A",IF(I21&gt;=58,"B",IF(I21&gt;=50,"C",IF(I21&gt;=42,"D","E"))))))</x:f>
        <x:v>C</x:v>
      </x:c>
      <x:c r="D21" s="82" t="str">
        <x:f>IF(AND(U21="Rankeado",A21&lt;=6),"Sim","Não")</x:f>
        <x:v>Não</x:v>
      </x:c>
      <x:c r="E21" s="82" t="n">
        <x:v>18</x:v>
      </x:c>
      <x:c r="F21" s="80" t="str">
        <x:v>Pidgeot</x:v>
      </x:c>
      <x:c r="G21" s="82" t="str">
        <x:v>Normal / Voador</x:v>
      </x:c>
      <x:c r="H21" s="82" t="str">
        <x:v>Misto</x:v>
      </x:c>
      <x:c r="I21" s="142" t="n">
        <x:f>ROUND(100*(Metodologia!$B$17*(Q21/Metodologia!$B$22)+Metodologia!$B$18*(R21/Metodologia!$B$23)+Metodologia!$B$19*(S21/Metodologia!$B$24)+Metodologia!$B$20*(P21/Metodologia!$B$25)+Metodologia!$B$21*(J21/Metodologia!$B$26)),2)</x:f>
        <x:v>56.35</x:v>
      </x:c>
      <x:c r="J21" s="82" t="n">
        <x:f>SUM(K21:P21)</x:f>
        <x:v>479</x:v>
      </x:c>
      <x:c r="K21" s="82" t="n">
        <x:v>83</x:v>
      </x:c>
      <x:c r="L21" s="82" t="n">
        <x:v>80</x:v>
      </x:c>
      <x:c r="M21" s="82" t="n">
        <x:v>75</x:v>
      </x:c>
      <x:c r="N21" s="82" t="n">
        <x:v>70</x:v>
      </x:c>
      <x:c r="O21" s="82" t="n">
        <x:v>70</x:v>
      </x:c>
      <x:c r="P21" s="82" t="n">
        <x:v>101</x:v>
      </x:c>
      <x:c r="Q21" s="143" t="n">
        <x:f>MAX(L21,N21)*Metodologia!$B$16</x:f>
        <x:v>104</x:v>
      </x:c>
      <x:c r="R21" s="143" t="n">
        <x:f>MIN(L21,N21)*Metodologia!$B$16</x:f>
        <x:v>91</x:v>
      </x:c>
      <x:c r="S21" s="143" t="n">
        <x:f>SQRT(K21*AVERAGE(M21,O21)*Metodologia!$B$16)</x:f>
        <x:v>88.44631139849756</x:v>
      </x:c>
      <x:c r="T21" s="82" t="str">
        <x:v>Sim</x:v>
      </x:c>
      <x:c r="U21" s="82" t="str">
        <x:v>Rankeado</x:v>
      </x:c>
      <x:c r="V21" s="82" t="str">
        <x:v>Perfil misto; melhor atributo ofensivo 80, ofensiva secundária 70, robustez relativa 57% e Speed 101. O índice privilegia dano de hunt, sem ignorar sobrevivência.</x:v>
      </x:c>
      <x:c r="W21" s="82" t="str">
        <x:v>Fica atrás de Machoke principalmente por teto ofensivo 20.0% menor.</x:v>
      </x:c>
      <x:c r="X21" s="82" t="str">
        <x:v>Fica à frente de Hitmontop porque possui ofensiva secundária 100.0% maior e velocidade 44.3% maior.</x:v>
      </x:c>
      <x:c r="Y21" s="154" t="str">
        <x:v>https://poke.idleworld.online/pokepedia/pokemon/pidgeot</x:v>
      </x:c>
    </x:row>
    <x:row r="22" ht="48" customHeight="1">
      <x:c r="A22" s="82" t="n">
        <x:f>IF(U22&lt;&gt;"Rankeado","",COUNTIFS($U$5:$U$52,"Rankeado",$I$5:$I$52,"&gt;"&amp;I22)+COUNTIFS($U$5:U22,"Rankeado",$I$5:I22,I22))</x:f>
        <x:v>18</x:v>
      </x:c>
      <x:c r="B22" s="82" t="n">
        <x:f>COUNTIF($I$5:$I$52,"&gt;"&amp;I22)+COUNTIF($I$5:I22,I22)</x:f>
        <x:v>18</x:v>
      </x:c>
      <x:c r="C22" s="82" t="str">
        <x:f>IF(I22&gt;=80,"S+",IF(I22&gt;=72,"S",IF(I22&gt;=65,"A",IF(I22&gt;=58,"B",IF(I22&gt;=50,"C",IF(I22&gt;=42,"D","E"))))))</x:f>
        <x:v>C</x:v>
      </x:c>
      <x:c r="D22" s="82" t="str">
        <x:f>IF(AND(U22="Rankeado",A22&lt;=6),"Sim","Não")</x:f>
        <x:v>Não</x:v>
      </x:c>
      <x:c r="E22" s="82" t="n">
        <x:v>237</x:v>
      </x:c>
      <x:c r="F22" s="80" t="str">
        <x:v>Hitmontop</x:v>
      </x:c>
      <x:c r="G22" s="82" t="str">
        <x:v>Lutador</x:v>
      </x:c>
      <x:c r="H22" s="82" t="str">
        <x:v>Físico</x:v>
      </x:c>
      <x:c r="I22" s="142" t="n">
        <x:f>ROUND(100*(Metodologia!$B$17*(Q22/Metodologia!$B$22)+Metodologia!$B$18*(R22/Metodologia!$B$23)+Metodologia!$B$19*(S22/Metodologia!$B$24)+Metodologia!$B$20*(P22/Metodologia!$B$25)+Metodologia!$B$21*(J22/Metodologia!$B$26)),2)</x:f>
        <x:v>56.1</x:v>
      </x:c>
      <x:c r="J22" s="82" t="n">
        <x:f>SUM(K22:P22)</x:f>
        <x:v>455</x:v>
      </x:c>
      <x:c r="K22" s="82" t="n">
        <x:v>50</x:v>
      </x:c>
      <x:c r="L22" s="82" t="n">
        <x:v>95</x:v>
      </x:c>
      <x:c r="M22" s="82" t="n">
        <x:v>95</x:v>
      </x:c>
      <x:c r="N22" s="82" t="n">
        <x:v>35</x:v>
      </x:c>
      <x:c r="O22" s="82" t="n">
        <x:v>110</x:v>
      </x:c>
      <x:c r="P22" s="82" t="n">
        <x:v>70</x:v>
      </x:c>
      <x:c r="Q22" s="143" t="n">
        <x:f>MAX(L22,N22)*Metodologia!$B$16</x:f>
        <x:v>123.5</x:v>
      </x:c>
      <x:c r="R22" s="143" t="n">
        <x:f>MIN(L22,N22)*Metodologia!$B$16</x:f>
        <x:v>45.5</x:v>
      </x:c>
      <x:c r="S22" s="143" t="n">
        <x:f>SQRT(K22*AVERAGE(M22,O22)*Metodologia!$B$16)</x:f>
        <x:v>81.62413858657254</x:v>
      </x:c>
      <x:c r="T22" s="82" t="str">
        <x:v>Sim</x:v>
      </x:c>
      <x:c r="U22" s="82" t="str">
        <x:v>Rankeado</x:v>
      </x:c>
      <x:c r="V22" s="82" t="str">
        <x:v>Perfil físico; melhor atributo ofensivo 95, ofensiva secundária 35, robustez relativa 53% e Speed 70. O índice privilegia dano de hunt, sem ignorar sobrevivência.</x:v>
      </x:c>
      <x:c r="W22" s="82" t="str">
        <x:v>Fica atrás de Pidgeot principalmente por ofensiva secundária 50.0% menor e velocidade 30.7% menor.</x:v>
      </x:c>
      <x:c r="X22" s="82" t="str">
        <x:v>Fica à frente de Noctowl porque possui teto ofensivo 10.5% maior e total de stats 0.7% maior.</x:v>
      </x:c>
      <x:c r="Y22" s="154" t="str">
        <x:v>https://poke.idleworld.online/pokepedia/pokemon/hitmontop</x:v>
      </x:c>
    </x:row>
    <x:row r="23" ht="48" customHeight="1">
      <x:c r="A23" s="82" t="n">
        <x:f>IF(U23&lt;&gt;"Rankeado","",COUNTIFS($U$5:$U$52,"Rankeado",$I$5:$I$52,"&gt;"&amp;I23)+COUNTIFS($U$5:U23,"Rankeado",$I$5:I23,I23))</x:f>
        <x:v>19</x:v>
      </x:c>
      <x:c r="B23" s="82" t="n">
        <x:f>COUNTIF($I$5:$I$52,"&gt;"&amp;I23)+COUNTIF($I$5:I23,I23)</x:f>
        <x:v>19</x:v>
      </x:c>
      <x:c r="C23" s="82" t="str">
        <x:f>IF(I23&gt;=80,"S+",IF(I23&gt;=72,"S",IF(I23&gt;=65,"A",IF(I23&gt;=58,"B",IF(I23&gt;=50,"C",IF(I23&gt;=42,"D","E"))))))</x:f>
        <x:v>C</x:v>
      </x:c>
      <x:c r="D23" s="82" t="str">
        <x:f>IF(AND(U23="Rankeado",A23&lt;=6),"Sim","Não")</x:f>
        <x:v>Não</x:v>
      </x:c>
      <x:c r="E23" s="82" t="n">
        <x:v>164</x:v>
      </x:c>
      <x:c r="F23" s="80" t="str">
        <x:v>Noctowl</x:v>
      </x:c>
      <x:c r="G23" s="82" t="str">
        <x:v>Normal / Voador</x:v>
      </x:c>
      <x:c r="H23" s="82" t="str">
        <x:v>Especial</x:v>
      </x:c>
      <x:c r="I23" s="142" t="n">
        <x:f>ROUND(100*(Metodologia!$B$17*(Q23/Metodologia!$B$22)+Metodologia!$B$18*(R23/Metodologia!$B$23)+Metodologia!$B$19*(S23/Metodologia!$B$24)+Metodologia!$B$20*(P23/Metodologia!$B$25)+Metodologia!$B$21*(J23/Metodologia!$B$26)),2)</x:f>
        <x:v>55.47</x:v>
      </x:c>
      <x:c r="J23" s="82" t="n">
        <x:f>SUM(K23:P23)</x:f>
        <x:v>452</x:v>
      </x:c>
      <x:c r="K23" s="82" t="n">
        <x:v>100</x:v>
      </x:c>
      <x:c r="L23" s="82" t="n">
        <x:v>50</x:v>
      </x:c>
      <x:c r="M23" s="82" t="n">
        <x:v>50</x:v>
      </x:c>
      <x:c r="N23" s="82" t="n">
        <x:v>86</x:v>
      </x:c>
      <x:c r="O23" s="82" t="n">
        <x:v>96</x:v>
      </x:c>
      <x:c r="P23" s="82" t="n">
        <x:v>70</x:v>
      </x:c>
      <x:c r="Q23" s="143" t="n">
        <x:f>MAX(L23,N23)*Metodologia!$B$16</x:f>
        <x:v>111.8</x:v>
      </x:c>
      <x:c r="R23" s="143" t="n">
        <x:f>MIN(L23,N23)*Metodologia!$B$16</x:f>
        <x:v>65</x:v>
      </x:c>
      <x:c r="S23" s="143" t="n">
        <x:f>SQRT(K23*AVERAGE(M23,O23)*Metodologia!$B$16)</x:f>
        <x:v>97.41663102366043</x:v>
      </x:c>
      <x:c r="T23" s="82" t="str">
        <x:v>Sim</x:v>
      </x:c>
      <x:c r="U23" s="82" t="str">
        <x:v>Rankeado</x:v>
      </x:c>
      <x:c r="V23" s="82" t="str">
        <x:v>Perfil especial; melhor atributo ofensivo 86, ofensiva secundária 50, robustez relativa 63% e Speed 70. O índice privilegia dano de hunt, sem ignorar sobrevivência.</x:v>
      </x:c>
      <x:c r="W23" s="82" t="str">
        <x:v>Fica atrás de Hitmontop principalmente por teto ofensivo 9.5% menor e total de stats 0.7% menor.</x:v>
      </x:c>
      <x:c r="X23" s="82" t="str">
        <x:v>Fica à frente de Miltank porque possui teto ofensivo 7.5% maior e ofensiva secundária 25.0% maior.</x:v>
      </x:c>
      <x:c r="Y23" s="154" t="str">
        <x:v>https://poke.idleworld.online/pokepedia/pokemon/noctowl</x:v>
      </x:c>
    </x:row>
    <x:row r="24" ht="48" customHeight="1">
      <x:c r="A24" s="82" t="n">
        <x:f>IF(U24&lt;&gt;"Rankeado","",COUNTIFS($U$5:$U$52,"Rankeado",$I$5:$I$52,"&gt;"&amp;I24)+COUNTIFS($U$5:U24,"Rankeado",$I$5:I24,I24))</x:f>
        <x:v>20</x:v>
      </x:c>
      <x:c r="B24" s="82" t="n">
        <x:f>COUNTIF($I$5:$I$52,"&gt;"&amp;I24)+COUNTIF($I$5:I24,I24)</x:f>
        <x:v>20</x:v>
      </x:c>
      <x:c r="C24" s="82" t="str">
        <x:f>IF(I24&gt;=80,"S+",IF(I24&gt;=72,"S",IF(I24&gt;=65,"A",IF(I24&gt;=58,"B",IF(I24&gt;=50,"C",IF(I24&gt;=42,"D","E"))))))</x:f>
        <x:v>C</x:v>
      </x:c>
      <x:c r="D24" s="82" t="str">
        <x:f>IF(AND(U24="Rankeado",A24&lt;=6),"Sim","Não")</x:f>
        <x:v>Não</x:v>
      </x:c>
      <x:c r="E24" s="82" t="n">
        <x:v>241</x:v>
      </x:c>
      <x:c r="F24" s="80" t="str">
        <x:v>Miltank</x:v>
      </x:c>
      <x:c r="G24" s="82" t="str">
        <x:v>Normal</x:v>
      </x:c>
      <x:c r="H24" s="82" t="str">
        <x:v>Físico</x:v>
      </x:c>
      <x:c r="I24" s="142" t="n">
        <x:f>ROUND(100*(Metodologia!$B$17*(Q24/Metodologia!$B$22)+Metodologia!$B$18*(R24/Metodologia!$B$23)+Metodologia!$B$19*(S24/Metodologia!$B$24)+Metodologia!$B$20*(P24/Metodologia!$B$25)+Metodologia!$B$21*(J24/Metodologia!$B$26)),2)</x:f>
        <x:v>55.13</x:v>
      </x:c>
      <x:c r="J24" s="82" t="n">
        <x:f>SUM(K24:P24)</x:f>
        <x:v>490</x:v>
      </x:c>
      <x:c r="K24" s="82" t="n">
        <x:v>95</x:v>
      </x:c>
      <x:c r="L24" s="82" t="n">
        <x:v>80</x:v>
      </x:c>
      <x:c r="M24" s="82" t="n">
        <x:v>105</x:v>
      </x:c>
      <x:c r="N24" s="82" t="n">
        <x:v>40</x:v>
      </x:c>
      <x:c r="O24" s="82" t="n">
        <x:v>70</x:v>
      </x:c>
      <x:c r="P24" s="82" t="n">
        <x:v>100</x:v>
      </x:c>
      <x:c r="Q24" s="143" t="n">
        <x:f>MAX(L24,N24)*Metodologia!$B$16</x:f>
        <x:v>104</x:v>
      </x:c>
      <x:c r="R24" s="143" t="n">
        <x:f>MIN(L24,N24)*Metodologia!$B$16</x:f>
        <x:v>52</x:v>
      </x:c>
      <x:c r="S24" s="143" t="n">
        <x:f>SQRT(K24*AVERAGE(M24,O24)*Metodologia!$B$16)</x:f>
        <x:v>103.95311443145896</x:v>
      </x:c>
      <x:c r="T24" s="82" t="str">
        <x:v>Sim</x:v>
      </x:c>
      <x:c r="U24" s="82" t="str">
        <x:v>Rankeado</x:v>
      </x:c>
      <x:c r="V24" s="82" t="str">
        <x:v>Perfil físico; melhor atributo ofensivo 80, ofensiva secundária 40, robustez relativa 67% e Speed 100. O índice privilegia dano de hunt, sem ignorar sobrevivência.</x:v>
      </x:c>
      <x:c r="W24" s="82" t="str">
        <x:v>Fica atrás de Noctowl principalmente por teto ofensivo 7.0% menor e ofensiva secundária 20.0% menor.</x:v>
      </x:c>
      <x:c r="X24" s="82" t="str">
        <x:v>Fica à frente de Wigglytuff porque possui velocidade 122.2% maior e robustez sustentada 11.8% maior.</x:v>
      </x:c>
      <x:c r="Y24" s="154" t="str">
        <x:v>https://poke.idleworld.online/pokepedia/pokemon/miltank</x:v>
      </x:c>
    </x:row>
    <x:row r="25" ht="48" customHeight="1">
      <x:c r="A25" s="82" t="n">
        <x:f>IF(U25&lt;&gt;"Rankeado","",COUNTIFS($U$5:$U$52,"Rankeado",$I$5:$I$52,"&gt;"&amp;I25)+COUNTIFS($U$5:U25,"Rankeado",$I$5:I25,I25))</x:f>
        <x:v>21</x:v>
      </x:c>
      <x:c r="B25" s="82" t="n">
        <x:f>COUNTIF($I$5:$I$52,"&gt;"&amp;I25)+COUNTIF($I$5:I25,I25)</x:f>
        <x:v>21</x:v>
      </x:c>
      <x:c r="C25" s="82" t="str">
        <x:f>IF(I25&gt;=80,"S+",IF(I25&gt;=72,"S",IF(I25&gt;=65,"A",IF(I25&gt;=58,"B",IF(I25&gt;=50,"C",IF(I25&gt;=42,"D","E"))))))</x:f>
        <x:v>C</x:v>
      </x:c>
      <x:c r="D25" s="82" t="str">
        <x:f>IF(AND(U25="Rankeado",A25&lt;=6),"Sim","Não")</x:f>
        <x:v>Não</x:v>
      </x:c>
      <x:c r="E25" s="82" t="n">
        <x:v>40</x:v>
      </x:c>
      <x:c r="F25" s="80" t="str">
        <x:v>Wigglytuff</x:v>
      </x:c>
      <x:c r="G25" s="82" t="str">
        <x:v>Normal / Fada</x:v>
      </x:c>
      <x:c r="H25" s="82" t="str">
        <x:v>Especial</x:v>
      </x:c>
      <x:c r="I25" s="142" t="n">
        <x:f>ROUND(100*(Metodologia!$B$17*(Q25/Metodologia!$B$22)+Metodologia!$B$18*(R25/Metodologia!$B$23)+Metodologia!$B$19*(S25/Metodologia!$B$24)+Metodologia!$B$20*(P25/Metodologia!$B$25)+Metodologia!$B$21*(J25/Metodologia!$B$26)),2)</x:f>
        <x:v>54.68</x:v>
      </x:c>
      <x:c r="J25" s="82" t="n">
        <x:f>SUM(K25:P25)</x:f>
        <x:v>435</x:v>
      </x:c>
      <x:c r="K25" s="82" t="n">
        <x:v>140</x:v>
      </x:c>
      <x:c r="L25" s="82" t="n">
        <x:v>70</x:v>
      </x:c>
      <x:c r="M25" s="82" t="n">
        <x:v>45</x:v>
      </x:c>
      <x:c r="N25" s="82" t="n">
        <x:v>85</x:v>
      </x:c>
      <x:c r="O25" s="82" t="n">
        <x:v>50</x:v>
      </x:c>
      <x:c r="P25" s="82" t="n">
        <x:v>45</x:v>
      </x:c>
      <x:c r="Q25" s="143" t="n">
        <x:f>MAX(L25,N25)*Metodologia!$B$16</x:f>
        <x:v>110.5</x:v>
      </x:c>
      <x:c r="R25" s="143" t="n">
        <x:f>MIN(L25,N25)*Metodologia!$B$16</x:f>
        <x:v>91</x:v>
      </x:c>
      <x:c r="S25" s="143" t="n">
        <x:f>SQRT(K25*AVERAGE(M25,O25)*Metodologia!$B$16)</x:f>
        <x:v>92.97849213662265</x:v>
      </x:c>
      <x:c r="T25" s="82" t="str">
        <x:v>Sim</x:v>
      </x:c>
      <x:c r="U25" s="82" t="str">
        <x:v>Rankeado</x:v>
      </x:c>
      <x:c r="V25" s="82" t="str">
        <x:v>Perfil especial; melhor atributo ofensivo 85, ofensiva secundária 70, robustez relativa 60% e Speed 45. O índice privilegia dano de hunt, sem ignorar sobrevivência.</x:v>
      </x:c>
      <x:c r="W25" s="82" t="str">
        <x:v>Fica atrás de Miltank principalmente por velocidade 55.0% menor e robustez sustentada 10.6% menor.</x:v>
      </x:c>
      <x:c r="X25" s="82" t="str">
        <x:v>Fica à frente de Farfetch'd porque possui robustez sustentada 47.9% maior e ofensiva secundária 20.7% maior.</x:v>
      </x:c>
      <x:c r="Y25" s="154" t="str">
        <x:v>https://poke.idleworld.online/pokepedia/pokemon/wigglytuff</x:v>
      </x:c>
    </x:row>
    <x:row r="26" ht="48" customHeight="1">
      <x:c r="A26" s="82" t="n">
        <x:f>IF(U26&lt;&gt;"Rankeado","",COUNTIFS($U$5:$U$52,"Rankeado",$I$5:$I$52,"&gt;"&amp;I26)+COUNTIFS($U$5:U26,"Rankeado",$I$5:I26,I26))</x:f>
        <x:v>22</x:v>
      </x:c>
      <x:c r="B26" s="82" t="n">
        <x:f>COUNTIF($I$5:$I$52,"&gt;"&amp;I26)+COUNTIF($I$5:I26,I26)</x:f>
        <x:v>22</x:v>
      </x:c>
      <x:c r="C26" s="82" t="str">
        <x:f>IF(I26&gt;=80,"S+",IF(I26&gt;=72,"S",IF(I26&gt;=65,"A",IF(I26&gt;=58,"B",IF(I26&gt;=50,"C",IF(I26&gt;=42,"D","E"))))))</x:f>
        <x:v>C</x:v>
      </x:c>
      <x:c r="D26" s="82" t="str">
        <x:f>IF(AND(U26="Rankeado",A26&lt;=6),"Sim","Não")</x:f>
        <x:v>Não</x:v>
      </x:c>
      <x:c r="E26" s="82" t="n">
        <x:v>83</x:v>
      </x:c>
      <x:c r="F26" s="80" t="str">
        <x:v>Farfetch'd</x:v>
      </x:c>
      <x:c r="G26" s="82" t="str">
        <x:v>Normal / Voador</x:v>
      </x:c>
      <x:c r="H26" s="82" t="str">
        <x:v>Físico</x:v>
      </x:c>
      <x:c r="I26" s="142" t="n">
        <x:f>ROUND(100*(Metodologia!$B$17*(Q26/Metodologia!$B$22)+Metodologia!$B$18*(R26/Metodologia!$B$23)+Metodologia!$B$19*(S26/Metodologia!$B$24)+Metodologia!$B$20*(P26/Metodologia!$B$25)+Metodologia!$B$21*(J26/Metodologia!$B$26)),2)</x:f>
        <x:v>53.19</x:v>
      </x:c>
      <x:c r="J26" s="82" t="n">
        <x:f>SUM(K26:P26)</x:f>
        <x:v>377</x:v>
      </x:c>
      <x:c r="K26" s="82" t="n">
        <x:v>52</x:v>
      </x:c>
      <x:c r="L26" s="82" t="n">
        <x:v>90</x:v>
      </x:c>
      <x:c r="M26" s="82" t="n">
        <x:v>55</x:v>
      </x:c>
      <x:c r="N26" s="82" t="n">
        <x:v>58</x:v>
      </x:c>
      <x:c r="O26" s="82" t="n">
        <x:v>62</x:v>
      </x:c>
      <x:c r="P26" s="82" t="n">
        <x:v>60</x:v>
      </x:c>
      <x:c r="Q26" s="143" t="n">
        <x:f>MAX(L26,N26)*Metodologia!$B$16</x:f>
        <x:v>117</x:v>
      </x:c>
      <x:c r="R26" s="143" t="n">
        <x:f>MIN(L26,N26)*Metodologia!$B$16</x:f>
        <x:v>75.4</x:v>
      </x:c>
      <x:c r="S26" s="143" t="n">
        <x:f>SQRT(K26*AVERAGE(M26,O26)*Metodologia!$B$16)</x:f>
        <x:v>62.88561043672868</x:v>
      </x:c>
      <x:c r="T26" s="82" t="str">
        <x:v>Sim</x:v>
      </x:c>
      <x:c r="U26" s="82" t="str">
        <x:v>Rankeado</x:v>
      </x:c>
      <x:c r="V26" s="82" t="str">
        <x:v>Perfil físico; melhor atributo ofensivo 90, ofensiva secundária 58, robustez relativa 41% e Speed 60. O índice privilegia dano de hunt, sem ignorar sobrevivência.</x:v>
      </x:c>
      <x:c r="W26" s="82" t="str">
        <x:v>Fica atrás de Wigglytuff principalmente por robustez sustentada 32.4% menor e ofensiva secundária 17.1% menor.</x:v>
      </x:c>
      <x:c r="X26" s="82" t="str">
        <x:v>Fica à frente de Blissey porque possui teto ofensivo 20.0% maior e ofensiva secundária 480.0% maior.</x:v>
      </x:c>
      <x:c r="Y26" s="154" t="str">
        <x:v>https://poke.idleworld.online/pokepedia/pokemon/farfetchd</x:v>
      </x:c>
    </x:row>
    <x:row r="27" ht="48" customHeight="1">
      <x:c r="A27" s="82" t="n">
        <x:f>IF(U27&lt;&gt;"Rankeado","",COUNTIFS($U$5:$U$52,"Rankeado",$I$5:$I$52,"&gt;"&amp;I27)+COUNTIFS($U$5:U27,"Rankeado",$I$5:I27,I27))</x:f>
        <x:v>23</x:v>
      </x:c>
      <x:c r="B27" s="82" t="n">
        <x:f>COUNTIF($I$5:$I$52,"&gt;"&amp;I27)+COUNTIF($I$5:I27,I27)</x:f>
        <x:v>23</x:v>
      </x:c>
      <x:c r="C27" s="82" t="str">
        <x:f>IF(I27&gt;=80,"S+",IF(I27&gt;=72,"S",IF(I27&gt;=65,"A",IF(I27&gt;=58,"B",IF(I27&gt;=50,"C",IF(I27&gt;=42,"D","E"))))))</x:f>
        <x:v>C</x:v>
      </x:c>
      <x:c r="D27" s="82" t="str">
        <x:f>IF(AND(U27="Rankeado",A27&lt;=6),"Sim","Não")</x:f>
        <x:v>Não</x:v>
      </x:c>
      <x:c r="E27" s="82" t="n">
        <x:v>242</x:v>
      </x:c>
      <x:c r="F27" s="80" t="str">
        <x:v>Blissey</x:v>
      </x:c>
      <x:c r="G27" s="82" t="str">
        <x:v>Normal</x:v>
      </x:c>
      <x:c r="H27" s="82" t="str">
        <x:v>Especial</x:v>
      </x:c>
      <x:c r="I27" s="142" t="n">
        <x:f>ROUND(100*(Metodologia!$B$17*(Q27/Metodologia!$B$22)+Metodologia!$B$18*(R27/Metodologia!$B$23)+Metodologia!$B$19*(S27/Metodologia!$B$24)+Metodologia!$B$20*(P27/Metodologia!$B$25)+Metodologia!$B$21*(J27/Metodologia!$B$26)),2)</x:f>
        <x:v>52.77</x:v>
      </x:c>
      <x:c r="J27" s="82" t="n">
        <x:f>SUM(K27:P27)</x:f>
        <x:v>540</x:v>
      </x:c>
      <x:c r="K27" s="82" t="n">
        <x:v>255</x:v>
      </x:c>
      <x:c r="L27" s="82" t="n">
        <x:v>10</x:v>
      </x:c>
      <x:c r="M27" s="82" t="n">
        <x:v>10</x:v>
      </x:c>
      <x:c r="N27" s="82" t="n">
        <x:v>75</x:v>
      </x:c>
      <x:c r="O27" s="82" t="n">
        <x:v>135</x:v>
      </x:c>
      <x:c r="P27" s="82" t="n">
        <x:v>55</x:v>
      </x:c>
      <x:c r="Q27" s="143" t="n">
        <x:f>MAX(L27,N27)*Metodologia!$B$16</x:f>
        <x:v>97.5</x:v>
      </x:c>
      <x:c r="R27" s="143" t="n">
        <x:f>MIN(L27,N27)*Metodologia!$B$16</x:f>
        <x:v>13</x:v>
      </x:c>
      <x:c r="S27" s="143" t="n">
        <x:f>SQRT(K27*AVERAGE(M27,O27)*Metodologia!$B$16)</x:f>
        <x:v>155.02822323693192</x:v>
      </x:c>
      <x:c r="T27" s="82" t="str">
        <x:v>Não</x:v>
      </x:c>
      <x:c r="U27" s="82" t="str">
        <x:v>Rankeado</x:v>
      </x:c>
      <x:c r="V27" s="82" t="str">
        <x:v>Perfil especial; melhor atributo ofensivo 75, ofensiva secundária 10, robustez relativa 100% e Speed 55. O índice privilegia dano de hunt, sem ignorar sobrevivência.</x:v>
      </x:c>
      <x:c r="W27" s="82" t="str">
        <x:v>Fica atrás de Farfetch'd principalmente por teto ofensivo 16.7% menor e ofensiva secundária 82.8% menor.</x:v>
      </x:c>
      <x:c r="X27" s="82" t="str">
        <x:v>Fica à frente de Raticate porque possui robustez sustentada 127.4% maior e total de stats 30.8% maior.</x:v>
      </x:c>
      <x:c r="Y27" s="154" t="str">
        <x:v>https://poke.idleworld.online/pokepedia/pokemon/blissey</x:v>
      </x:c>
    </x:row>
    <x:row r="28" ht="48" customHeight="1">
      <x:c r="A28" s="82" t="n">
        <x:f>IF(U28&lt;&gt;"Rankeado","",COUNTIFS($U$5:$U$52,"Rankeado",$I$5:$I$52,"&gt;"&amp;I28)+COUNTIFS($U$5:U28,"Rankeado",$I$5:I28,I28))</x:f>
        <x:v>24</x:v>
      </x:c>
      <x:c r="B28" s="82" t="n">
        <x:f>COUNTIF($I$5:$I$52,"&gt;"&amp;I28)+COUNTIF($I$5:I28,I28)</x:f>
        <x:v>24</x:v>
      </x:c>
      <x:c r="C28" s="82" t="str">
        <x:f>IF(I28&gt;=80,"S+",IF(I28&gt;=72,"S",IF(I28&gt;=65,"A",IF(I28&gt;=58,"B",IF(I28&gt;=50,"C",IF(I28&gt;=42,"D","E"))))))</x:f>
        <x:v>C</x:v>
      </x:c>
      <x:c r="D28" s="82" t="str">
        <x:f>IF(AND(U28="Rankeado",A28&lt;=6),"Sim","Não")</x:f>
        <x:v>Não</x:v>
      </x:c>
      <x:c r="E28" s="82" t="n">
        <x:v>20</x:v>
      </x:c>
      <x:c r="F28" s="80" t="str">
        <x:v>Raticate</x:v>
      </x:c>
      <x:c r="G28" s="82" t="str">
        <x:v>Normal</x:v>
      </x:c>
      <x:c r="H28" s="82" t="str">
        <x:v>Físico</x:v>
      </x:c>
      <x:c r="I28" s="142" t="n">
        <x:f>ROUND(100*(Metodologia!$B$17*(Q28/Metodologia!$B$22)+Metodologia!$B$18*(R28/Metodologia!$B$23)+Metodologia!$B$19*(S28/Metodologia!$B$24)+Metodologia!$B$20*(P28/Metodologia!$B$25)+Metodologia!$B$21*(J28/Metodologia!$B$26)),2)</x:f>
        <x:v>52.2</x:v>
      </x:c>
      <x:c r="J28" s="82" t="n">
        <x:f>SUM(K28:P28)</x:f>
        <x:v>413</x:v>
      </x:c>
      <x:c r="K28" s="82" t="n">
        <x:v>55</x:v>
      </x:c>
      <x:c r="L28" s="82" t="n">
        <x:v>81</x:v>
      </x:c>
      <x:c r="M28" s="82" t="n">
        <x:v>60</x:v>
      </x:c>
      <x:c r="N28" s="82" t="n">
        <x:v>50</x:v>
      </x:c>
      <x:c r="O28" s="82" t="n">
        <x:v>70</x:v>
      </x:c>
      <x:c r="P28" s="82" t="n">
        <x:v>97</x:v>
      </x:c>
      <x:c r="Q28" s="143" t="n">
        <x:f>MAX(L28,N28)*Metodologia!$B$16</x:f>
        <x:v>105.3</x:v>
      </x:c>
      <x:c r="R28" s="143" t="n">
        <x:f>MIN(L28,N28)*Metodologia!$B$16</x:f>
        <x:v>65</x:v>
      </x:c>
      <x:c r="S28" s="143" t="n">
        <x:f>SQRT(K28*AVERAGE(M28,O28)*Metodologia!$B$16)</x:f>
        <x:v>68.17257513105984</x:v>
      </x:c>
      <x:c r="T28" s="82" t="str">
        <x:v>Sim</x:v>
      </x:c>
      <x:c r="U28" s="82" t="str">
        <x:v>Rankeado</x:v>
      </x:c>
      <x:c r="V28" s="82" t="str">
        <x:v>Perfil físico; melhor atributo ofensivo 81, ofensiva secundária 50, robustez relativa 44% e Speed 97. O índice privilegia dano de hunt, sem ignorar sobrevivência.</x:v>
      </x:c>
      <x:c r="W28" s="82" t="str">
        <x:v>Fica atrás de Blissey principalmente por robustez sustentada 56.0% menor e total de stats 23.5% menor.</x:v>
      </x:c>
      <x:c r="X28" s="82" t="str">
        <x:v>Fica à frente de Porygon porque possui velocidade 142.5% maior e total de stats 4.6% maior.</x:v>
      </x:c>
      <x:c r="Y28" s="154" t="str">
        <x:v>https://poke.idleworld.online/pokepedia/pokemon/raticate</x:v>
      </x:c>
    </x:row>
    <x:row r="29" ht="48" customHeight="1">
      <x:c r="A29" s="82" t="n">
        <x:f>IF(U29&lt;&gt;"Rankeado","",COUNTIFS($U$5:$U$52,"Rankeado",$I$5:$I$52,"&gt;"&amp;I29)+COUNTIFS($U$5:U29,"Rankeado",$I$5:I29,I29))</x:f>
        <x:v>25</x:v>
      </x:c>
      <x:c r="B29" s="82" t="n">
        <x:f>COUNTIF($I$5:$I$52,"&gt;"&amp;I29)+COUNTIF($I$5:I29,I29)</x:f>
        <x:v>25</x:v>
      </x:c>
      <x:c r="C29" s="82" t="str">
        <x:f>IF(I29&gt;=80,"S+",IF(I29&gt;=72,"S",IF(I29&gt;=65,"A",IF(I29&gt;=58,"B",IF(I29&gt;=50,"C",IF(I29&gt;=42,"D","E"))))))</x:f>
        <x:v>C</x:v>
      </x:c>
      <x:c r="D29" s="82" t="str">
        <x:f>IF(AND(U29="Rankeado",A29&lt;=6),"Sim","Não")</x:f>
        <x:v>Não</x:v>
      </x:c>
      <x:c r="E29" s="82" t="n">
        <x:v>137</x:v>
      </x:c>
      <x:c r="F29" s="80" t="str">
        <x:v>Porygon</x:v>
      </x:c>
      <x:c r="G29" s="82" t="str">
        <x:v>Normal</x:v>
      </x:c>
      <x:c r="H29" s="82" t="str">
        <x:v>Especial</x:v>
      </x:c>
      <x:c r="I29" s="142" t="n">
        <x:f>ROUND(100*(Metodologia!$B$17*(Q29/Metodologia!$B$22)+Metodologia!$B$18*(R29/Metodologia!$B$23)+Metodologia!$B$19*(S29/Metodologia!$B$24)+Metodologia!$B$20*(P29/Metodologia!$B$25)+Metodologia!$B$21*(J29/Metodologia!$B$26)),2)</x:f>
        <x:v>51.72</x:v>
      </x:c>
      <x:c r="J29" s="82" t="n">
        <x:f>SUM(K29:P29)</x:f>
        <x:v>395</x:v>
      </x:c>
      <x:c r="K29" s="82" t="n">
        <x:v>65</x:v>
      </x:c>
      <x:c r="L29" s="82" t="n">
        <x:v>60</x:v>
      </x:c>
      <x:c r="M29" s="82" t="n">
        <x:v>70</x:v>
      </x:c>
      <x:c r="N29" s="82" t="n">
        <x:v>85</x:v>
      </x:c>
      <x:c r="O29" s="82" t="n">
        <x:v>75</x:v>
      </x:c>
      <x:c r="P29" s="82" t="n">
        <x:v>40</x:v>
      </x:c>
      <x:c r="Q29" s="143" t="n">
        <x:f>MAX(L29,N29)*Metodologia!$B$16</x:f>
        <x:v>110.5</x:v>
      </x:c>
      <x:c r="R29" s="143" t="n">
        <x:f>MIN(L29,N29)*Metodologia!$B$16</x:f>
        <x:v>78</x:v>
      </x:c>
      <x:c r="S29" s="143" t="n">
        <x:f>SQRT(K29*AVERAGE(M29,O29)*Metodologia!$B$16)</x:f>
        <x:v>78.27036476214992</x:v>
      </x:c>
      <x:c r="T29" s="82" t="str">
        <x:v>Não</x:v>
      </x:c>
      <x:c r="U29" s="82" t="str">
        <x:v>Rankeado</x:v>
      </x:c>
      <x:c r="V29" s="82" t="str">
        <x:v>Perfil especial; melhor atributo ofensivo 85, ofensiva secundária 60, robustez relativa 50% e Speed 40. O índice privilegia dano de hunt, sem ignorar sobrevivência.</x:v>
      </x:c>
      <x:c r="W29" s="82" t="str">
        <x:v>Fica atrás de Raticate principalmente por velocidade 58.8% menor e total de stats 4.4% menor.</x:v>
      </x:c>
      <x:c r="X29" s="82" t="str">
        <x:v>Fica à frente de Persian porque possui teto ofensivo 21.4% maior e robustez sustentada 7.7% maior.</x:v>
      </x:c>
      <x:c r="Y29" s="154" t="str">
        <x:v>https://poke.idleworld.online/pokepedia/pokemon/porygon</x:v>
      </x:c>
    </x:row>
    <x:row r="30" ht="48" customHeight="1">
      <x:c r="A30" s="82" t="n">
        <x:f>IF(U30&lt;&gt;"Rankeado","",COUNTIFS($U$5:$U$52,"Rankeado",$I$5:$I$52,"&gt;"&amp;I30)+COUNTIFS($U$5:U30,"Rankeado",$I$5:I30,I30))</x:f>
        <x:v>26</x:v>
      </x:c>
      <x:c r="B30" s="82" t="n">
        <x:f>COUNTIF($I$5:$I$52,"&gt;"&amp;I30)+COUNTIF($I$5:I30,I30)</x:f>
        <x:v>26</x:v>
      </x:c>
      <x:c r="C30" s="82" t="str">
        <x:f>IF(I30&gt;=80,"S+",IF(I30&gt;=72,"S",IF(I30&gt;=65,"A",IF(I30&gt;=58,"B",IF(I30&gt;=50,"C",IF(I30&gt;=42,"D","E"))))))</x:f>
        <x:v>C</x:v>
      </x:c>
      <x:c r="D30" s="82" t="str">
        <x:f>IF(AND(U30="Rankeado",A30&lt;=6),"Sim","Não")</x:f>
        <x:v>Não</x:v>
      </x:c>
      <x:c r="E30" s="82" t="n">
        <x:v>53</x:v>
      </x:c>
      <x:c r="F30" s="80" t="str">
        <x:v>Persian</x:v>
      </x:c>
      <x:c r="G30" s="82" t="str">
        <x:v>Normal</x:v>
      </x:c>
      <x:c r="H30" s="82" t="str">
        <x:v>Misto</x:v>
      </x:c>
      <x:c r="I30" s="142" t="n">
        <x:f>ROUND(100*(Metodologia!$B$17*(Q30/Metodologia!$B$22)+Metodologia!$B$18*(R30/Metodologia!$B$23)+Metodologia!$B$19*(S30/Metodologia!$B$24)+Metodologia!$B$20*(P30/Metodologia!$B$25)+Metodologia!$B$21*(J30/Metodologia!$B$26)),2)</x:f>
        <x:v>51.12</x:v>
      </x:c>
      <x:c r="J30" s="82" t="n">
        <x:f>SUM(K30:P30)</x:f>
        <x:v>440</x:v>
      </x:c>
      <x:c r="K30" s="82" t="n">
        <x:v>65</x:v>
      </x:c>
      <x:c r="L30" s="82" t="n">
        <x:v>70</x:v>
      </x:c>
      <x:c r="M30" s="82" t="n">
        <x:v>60</x:v>
      </x:c>
      <x:c r="N30" s="82" t="n">
        <x:v>65</x:v>
      </x:c>
      <x:c r="O30" s="82" t="n">
        <x:v>65</x:v>
      </x:c>
      <x:c r="P30" s="82" t="n">
        <x:v>115</x:v>
      </x:c>
      <x:c r="Q30" s="143" t="n">
        <x:f>MAX(L30,N30)*Metodologia!$B$16</x:f>
        <x:v>91</x:v>
      </x:c>
      <x:c r="R30" s="143" t="n">
        <x:f>MIN(L30,N30)*Metodologia!$B$16</x:f>
        <x:v>84.5</x:v>
      </x:c>
      <x:c r="S30" s="143" t="n">
        <x:f>SQRT(K30*AVERAGE(M30,O30)*Metodologia!$B$16)</x:f>
        <x:v>72.67220926874316</x:v>
      </x:c>
      <x:c r="T30" s="82" t="str">
        <x:v>Sim</x:v>
      </x:c>
      <x:c r="U30" s="82" t="str">
        <x:v>Rankeado</x:v>
      </x:c>
      <x:c r="V30" s="82" t="str">
        <x:v>Perfil misto; melhor atributo ofensivo 70, ofensiva secundária 65, robustez relativa 47% e Speed 115. O índice privilegia dano de hunt, sem ignorar sobrevivência.</x:v>
      </x:c>
      <x:c r="W30" s="82" t="str">
        <x:v>Fica atrás de Porygon principalmente por teto ofensivo 17.6% menor e robustez sustentada 7.2% menor.</x:v>
      </x:c>
      <x:c r="X30" s="82" t="str">
        <x:v>Fica à frente de Furret porque possui ofensiva secundária 44.4% maior e velocidade 27.8% maior.</x:v>
      </x:c>
      <x:c r="Y30" s="154" t="str">
        <x:v>https://poke.idleworld.online/pokepedia/pokemon/persian</x:v>
      </x:c>
    </x:row>
    <x:row r="31" ht="48" customHeight="1">
      <x:c r="A31" s="82" t="n">
        <x:f>IF(U31&lt;&gt;"Rankeado","",COUNTIFS($U$5:$U$52,"Rankeado",$I$5:$I$52,"&gt;"&amp;I31)+COUNTIFS($U$5:U31,"Rankeado",$I$5:I31,I31))</x:f>
        <x:v>27</x:v>
      </x:c>
      <x:c r="B31" s="82" t="n">
        <x:f>COUNTIF($I$5:$I$52,"&gt;"&amp;I31)+COUNTIF($I$5:I31,I31)</x:f>
        <x:v>27</x:v>
      </x:c>
      <x:c r="C31" s="82" t="str">
        <x:f>IF(I31&gt;=80,"S+",IF(I31&gt;=72,"S",IF(I31&gt;=65,"A",IF(I31&gt;=58,"B",IF(I31&gt;=50,"C",IF(I31&gt;=42,"D","E"))))))</x:f>
        <x:v>C</x:v>
      </x:c>
      <x:c r="D31" s="82" t="str">
        <x:f>IF(AND(U31="Rankeado",A31&lt;=6),"Sim","Não")</x:f>
        <x:v>Não</x:v>
      </x:c>
      <x:c r="E31" s="82" t="n">
        <x:v>162</x:v>
      </x:c>
      <x:c r="F31" s="80" t="str">
        <x:v>Furret</x:v>
      </x:c>
      <x:c r="G31" s="82" t="str">
        <x:v>Normal</x:v>
      </x:c>
      <x:c r="H31" s="82" t="str">
        <x:v>Físico</x:v>
      </x:c>
      <x:c r="I31" s="142" t="n">
        <x:f>ROUND(100*(Metodologia!$B$17*(Q31/Metodologia!$B$22)+Metodologia!$B$18*(R31/Metodologia!$B$23)+Metodologia!$B$19*(S31/Metodologia!$B$24)+Metodologia!$B$20*(P31/Metodologia!$B$25)+Metodologia!$B$21*(J31/Metodologia!$B$26)),2)</x:f>
        <x:v>50.6</x:v>
      </x:c>
      <x:c r="J31" s="82" t="n">
        <x:f>SUM(K31:P31)</x:f>
        <x:v>415</x:v>
      </x:c>
      <x:c r="K31" s="82" t="n">
        <x:v>85</x:v>
      </x:c>
      <x:c r="L31" s="82" t="n">
        <x:v>76</x:v>
      </x:c>
      <x:c r="M31" s="82" t="n">
        <x:v>64</x:v>
      </x:c>
      <x:c r="N31" s="82" t="n">
        <x:v>45</x:v>
      </x:c>
      <x:c r="O31" s="82" t="n">
        <x:v>55</x:v>
      </x:c>
      <x:c r="P31" s="82" t="n">
        <x:v>90</x:v>
      </x:c>
      <x:c r="Q31" s="143" t="n">
        <x:f>MAX(L31,N31)*Metodologia!$B$16</x:f>
        <x:v>98.8</x:v>
      </x:c>
      <x:c r="R31" s="143" t="n">
        <x:f>MIN(L31,N31)*Metodologia!$B$16</x:f>
        <x:v>58.5</x:v>
      </x:c>
      <x:c r="S31" s="143" t="n">
        <x:f>SQRT(K31*AVERAGE(M31,O31)*Metodologia!$B$16)</x:f>
        <x:v>81.08483212044038</x:v>
      </x:c>
      <x:c r="T31" s="82" t="str">
        <x:v>Não</x:v>
      </x:c>
      <x:c r="U31" s="82" t="str">
        <x:v>Rankeado</x:v>
      </x:c>
      <x:c r="V31" s="82" t="str">
        <x:v>Perfil físico; melhor atributo ofensivo 76, ofensiva secundária 45, robustez relativa 52% e Speed 90. O índice privilegia dano de hunt, sem ignorar sobrevivência.</x:v>
      </x:c>
      <x:c r="W31" s="82" t="str">
        <x:v>Fica atrás de Persian principalmente por ofensiva secundária 30.8% menor e velocidade 21.7% menor.</x:v>
      </x:c>
      <x:c r="X31" s="82" t="str">
        <x:v>Fica à frente de Dunsparce porque possui velocidade 100.0% maior e teto ofensivo 8.6% maior.</x:v>
      </x:c>
      <x:c r="Y31" s="154" t="str">
        <x:v>https://poke.idleworld.online/pokepedia/pokemon/furret</x:v>
      </x:c>
    </x:row>
    <x:row r="32" ht="48" customHeight="1">
      <x:c r="A32" s="82" t="n">
        <x:f>IF(U32&lt;&gt;"Rankeado","",COUNTIFS($U$5:$U$52,"Rankeado",$I$5:$I$52,"&gt;"&amp;I32)+COUNTIFS($U$5:U32,"Rankeado",$I$5:I32,I32))</x:f>
        <x:v>28</x:v>
      </x:c>
      <x:c r="B32" s="82" t="n">
        <x:f>COUNTIF($I$5:$I$52,"&gt;"&amp;I32)+COUNTIF($I$5:I32,I32)</x:f>
        <x:v>28</x:v>
      </x:c>
      <x:c r="C32" s="82" t="str">
        <x:f>IF(I32&gt;=80,"S+",IF(I32&gt;=72,"S",IF(I32&gt;=65,"A",IF(I32&gt;=58,"B",IF(I32&gt;=50,"C",IF(I32&gt;=42,"D","E"))))))</x:f>
        <x:v>D</x:v>
      </x:c>
      <x:c r="D32" s="82" t="str">
        <x:f>IF(AND(U32="Rankeado",A32&lt;=6),"Sim","Não")</x:f>
        <x:v>Não</x:v>
      </x:c>
      <x:c r="E32" s="82" t="n">
        <x:v>206</x:v>
      </x:c>
      <x:c r="F32" s="80" t="str">
        <x:v>Dunsparce</x:v>
      </x:c>
      <x:c r="G32" s="82" t="str">
        <x:v>Normal</x:v>
      </x:c>
      <x:c r="H32" s="82" t="str">
        <x:v>Misto</x:v>
      </x:c>
      <x:c r="I32" s="142" t="n">
        <x:f>ROUND(100*(Metodologia!$B$17*(Q32/Metodologia!$B$22)+Metodologia!$B$18*(R32/Metodologia!$B$23)+Metodologia!$B$19*(S32/Metodologia!$B$24)+Metodologia!$B$20*(P32/Metodologia!$B$25)+Metodologia!$B$21*(J32/Metodologia!$B$26)),2)</x:f>
        <x:v>48.3</x:v>
      </x:c>
      <x:c r="J32" s="82" t="n">
        <x:f>SUM(K32:P32)</x:f>
        <x:v>415</x:v>
      </x:c>
      <x:c r="K32" s="82" t="n">
        <x:v>100</x:v>
      </x:c>
      <x:c r="L32" s="82" t="n">
        <x:v>70</x:v>
      </x:c>
      <x:c r="M32" s="82" t="n">
        <x:v>70</x:v>
      </x:c>
      <x:c r="N32" s="82" t="n">
        <x:v>65</x:v>
      </x:c>
      <x:c r="O32" s="82" t="n">
        <x:v>65</x:v>
      </x:c>
      <x:c r="P32" s="82" t="n">
        <x:v>45</x:v>
      </x:c>
      <x:c r="Q32" s="143" t="n">
        <x:f>MAX(L32,N32)*Metodologia!$B$16</x:f>
        <x:v>91</x:v>
      </x:c>
      <x:c r="R32" s="143" t="n">
        <x:f>MIN(L32,N32)*Metodologia!$B$16</x:f>
        <x:v>84.5</x:v>
      </x:c>
      <x:c r="S32" s="143" t="n">
        <x:f>SQRT(K32*AVERAGE(M32,O32)*Metodologia!$B$16)</x:f>
        <x:v>93.67496997597597</x:v>
      </x:c>
      <x:c r="T32" s="82" t="str">
        <x:v>Não</x:v>
      </x:c>
      <x:c r="U32" s="82" t="str">
        <x:v>Rankeado</x:v>
      </x:c>
      <x:c r="V32" s="82" t="str">
        <x:v>Perfil misto; melhor atributo ofensivo 70, ofensiva secundária 65, robustez relativa 60% e Speed 45. O índice privilegia dano de hunt, sem ignorar sobrevivência.</x:v>
      </x:c>
      <x:c r="W32" s="82" t="str">
        <x:v>Fica atrás de Furret principalmente por velocidade 50.0% menor e teto ofensivo 7.9% menor.</x:v>
      </x:c>
      <x:c r="X32" s="82" t="str">
        <x:v>Fica à frente de Doduo porque possui robustez sustentada 119.6% maior e ofensiva secundária 85.7% maior.</x:v>
      </x:c>
      <x:c r="Y32" s="154" t="str">
        <x:v>https://poke.idleworld.online/pokepedia/pokemon/dunsparce</x:v>
      </x:c>
    </x:row>
    <x:row r="33" ht="48" customHeight="1">
      <x:c r="A33" s="82" t="n">
        <x:f>IF(U33&lt;&gt;"Rankeado","",COUNTIFS($U$5:$U$52,"Rankeado",$I$5:$I$52,"&gt;"&amp;I33)+COUNTIFS($U$5:U33,"Rankeado",$I$5:I33,I33))</x:f>
        <x:v>29</x:v>
      </x:c>
      <x:c r="B33" s="82" t="n">
        <x:f>COUNTIF($I$5:$I$52,"&gt;"&amp;I33)+COUNTIF($I$5:I33,I33)</x:f>
        <x:v>29</x:v>
      </x:c>
      <x:c r="C33" s="82" t="str">
        <x:f>IF(I33&gt;=80,"S+",IF(I33&gt;=72,"S",IF(I33&gt;=65,"A",IF(I33&gt;=58,"B",IF(I33&gt;=50,"C",IF(I33&gt;=42,"D","E"))))))</x:f>
        <x:v>D</x:v>
      </x:c>
      <x:c r="D33" s="82" t="str">
        <x:f>IF(AND(U33="Rankeado",A33&lt;=6),"Sim","Não")</x:f>
        <x:v>Não</x:v>
      </x:c>
      <x:c r="E33" s="82" t="n">
        <x:v>84</x:v>
      </x:c>
      <x:c r="F33" s="80" t="str">
        <x:v>Doduo</x:v>
      </x:c>
      <x:c r="G33" s="82" t="str">
        <x:v>Normal / Voador</x:v>
      </x:c>
      <x:c r="H33" s="82" t="str">
        <x:v>Físico</x:v>
      </x:c>
      <x:c r="I33" s="142" t="n">
        <x:f>ROUND(100*(Metodologia!$B$17*(Q33/Metodologia!$B$22)+Metodologia!$B$18*(R33/Metodologia!$B$23)+Metodologia!$B$19*(S33/Metodologia!$B$24)+Metodologia!$B$20*(P33/Metodologia!$B$25)+Metodologia!$B$21*(J33/Metodologia!$B$26)),2)</x:f>
        <x:v>47.71</x:v>
      </x:c>
      <x:c r="J33" s="82" t="n">
        <x:f>SUM(K33:P33)</x:f>
        <x:v>310</x:v>
      </x:c>
      <x:c r="K33" s="82" t="n">
        <x:v>35</x:v>
      </x:c>
      <x:c r="L33" s="82" t="n">
        <x:v>85</x:v>
      </x:c>
      <x:c r="M33" s="82" t="n">
        <x:v>45</x:v>
      </x:c>
      <x:c r="N33" s="82" t="n">
        <x:v>35</x:v>
      </x:c>
      <x:c r="O33" s="82" t="n">
        <x:v>35</x:v>
      </x:c>
      <x:c r="P33" s="82" t="n">
        <x:v>75</x:v>
      </x:c>
      <x:c r="Q33" s="143" t="n">
        <x:f>MAX(L33,N33)*Metodologia!$B$16</x:f>
        <x:v>110.5</x:v>
      </x:c>
      <x:c r="R33" s="143" t="n">
        <x:f>MIN(L33,N33)*Metodologia!$B$16</x:f>
        <x:v>45.5</x:v>
      </x:c>
      <x:c r="S33" s="143" t="n">
        <x:f>SQRT(K33*AVERAGE(M33,O33)*Metodologia!$B$16)</x:f>
        <x:v>42.661458015403085</x:v>
      </x:c>
      <x:c r="T33" s="82" t="str">
        <x:v>Sim</x:v>
      </x:c>
      <x:c r="U33" s="82" t="str">
        <x:v>Rankeado</x:v>
      </x:c>
      <x:c r="V33" s="82" t="str">
        <x:v>Perfil físico; melhor atributo ofensivo 85, ofensiva secundária 35, robustez relativa 28% e Speed 75. O índice privilegia dano de hunt, sem ignorar sobrevivência.</x:v>
      </x:c>
      <x:c r="W33" s="82" t="str">
        <x:v>Fica atrás de Dunsparce principalmente por robustez sustentada 54.5% menor e ofensiva secundária 46.2% menor.</x:v>
      </x:c>
      <x:c r="X33" s="82" t="str">
        <x:v>Fica à frente de Teddiursa porque possui velocidade 87.5% maior e teto ofensivo 6.2% maior.</x:v>
      </x:c>
      <x:c r="Y33" s="154" t="str">
        <x:v>https://poke.idleworld.online/pokepedia/pokemon/doduo</x:v>
      </x:c>
    </x:row>
    <x:row r="34" ht="48" customHeight="1">
      <x:c r="A34" s="82" t="n">
        <x:f>IF(U34&lt;&gt;"Rankeado","",COUNTIFS($U$5:$U$52,"Rankeado",$I$5:$I$52,"&gt;"&amp;I34)+COUNTIFS($U$5:U34,"Rankeado",$I$5:I34,I34))</x:f>
        <x:v>30</x:v>
      </x:c>
      <x:c r="B34" s="82" t="n">
        <x:f>COUNTIF($I$5:$I$52,"&gt;"&amp;I34)+COUNTIF($I$5:I34,I34)</x:f>
        <x:v>30</x:v>
      </x:c>
      <x:c r="C34" s="82" t="str">
        <x:f>IF(I34&gt;=80,"S+",IF(I34&gt;=72,"S",IF(I34&gt;=65,"A",IF(I34&gt;=58,"B",IF(I34&gt;=50,"C",IF(I34&gt;=42,"D","E"))))))</x:f>
        <x:v>D</x:v>
      </x:c>
      <x:c r="D34" s="82" t="str">
        <x:f>IF(AND(U34="Rankeado",A34&lt;=6),"Sim","Não")</x:f>
        <x:v>Não</x:v>
      </x:c>
      <x:c r="E34" s="82" t="n">
        <x:v>216</x:v>
      </x:c>
      <x:c r="F34" s="80" t="str">
        <x:v>Teddiursa</x:v>
      </x:c>
      <x:c r="G34" s="82" t="str">
        <x:v>Normal</x:v>
      </x:c>
      <x:c r="H34" s="82" t="str">
        <x:v>Físico</x:v>
      </x:c>
      <x:c r="I34" s="142" t="n">
        <x:f>ROUND(100*(Metodologia!$B$17*(Q34/Metodologia!$B$22)+Metodologia!$B$18*(R34/Metodologia!$B$23)+Metodologia!$B$19*(S34/Metodologia!$B$24)+Metodologia!$B$20*(P34/Metodologia!$B$25)+Metodologia!$B$21*(J34/Metodologia!$B$26)),2)</x:f>
        <x:v>46.85</x:v>
      </x:c>
      <x:c r="J34" s="82" t="n">
        <x:f>SUM(K34:P34)</x:f>
        <x:v>330</x:v>
      </x:c>
      <x:c r="K34" s="82" t="n">
        <x:v>60</x:v>
      </x:c>
      <x:c r="L34" s="82" t="n">
        <x:v>80</x:v>
      </x:c>
      <x:c r="M34" s="82" t="n">
        <x:v>50</x:v>
      </x:c>
      <x:c r="N34" s="82" t="n">
        <x:v>50</x:v>
      </x:c>
      <x:c r="O34" s="82" t="n">
        <x:v>50</x:v>
      </x:c>
      <x:c r="P34" s="82" t="n">
        <x:v>40</x:v>
      </x:c>
      <x:c r="Q34" s="143" t="n">
        <x:f>MAX(L34,N34)*Metodologia!$B$16</x:f>
        <x:v>104</x:v>
      </x:c>
      <x:c r="R34" s="143" t="n">
        <x:f>MIN(L34,N34)*Metodologia!$B$16</x:f>
        <x:v>65</x:v>
      </x:c>
      <x:c r="S34" s="143" t="n">
        <x:f>SQRT(K34*AVERAGE(M34,O34)*Metodologia!$B$16)</x:f>
        <x:v>62.44997998398398</x:v>
      </x:c>
      <x:c r="T34" s="82" t="str">
        <x:v>Sim</x:v>
      </x:c>
      <x:c r="U34" s="82" t="str">
        <x:v>Rankeado</x:v>
      </x:c>
      <x:c r="V34" s="82" t="str">
        <x:v>Perfil físico; melhor atributo ofensivo 80, ofensiva secundária 50, robustez relativa 40% e Speed 40. O índice privilegia dano de hunt, sem ignorar sobrevivência.</x:v>
      </x:c>
      <x:c r="W34" s="82" t="str">
        <x:v>Fica atrás de Doduo principalmente por velocidade 46.7% menor e teto ofensivo 5.9% menor.</x:v>
      </x:c>
      <x:c r="X34" s="82" t="str">
        <x:v>Fica à frente de Mankey porque possui robustez sustentada 36.9% maior e ofensiva secundária 42.9% maior.</x:v>
      </x:c>
      <x:c r="Y34" s="154" t="str">
        <x:v>https://poke.idleworld.online/pokepedia/pokemon/teddiursa</x:v>
      </x:c>
    </x:row>
    <x:row r="35" ht="48" customHeight="1">
      <x:c r="A35" s="82" t="n">
        <x:f>IF(U35&lt;&gt;"Rankeado","",COUNTIFS($U$5:$U$52,"Rankeado",$I$5:$I$52,"&gt;"&amp;I35)+COUNTIFS($U$5:U35,"Rankeado",$I$5:I35,I35))</x:f>
        <x:v>31</x:v>
      </x:c>
      <x:c r="B35" s="82" t="n">
        <x:f>COUNTIF($I$5:$I$52,"&gt;"&amp;I35)+COUNTIF($I$5:I35,I35)</x:f>
        <x:v>31</x:v>
      </x:c>
      <x:c r="C35" s="82" t="str">
        <x:f>IF(I35&gt;=80,"S+",IF(I35&gt;=72,"S",IF(I35&gt;=65,"A",IF(I35&gt;=58,"B",IF(I35&gt;=50,"C",IF(I35&gt;=42,"D","E"))))))</x:f>
        <x:v>D</x:v>
      </x:c>
      <x:c r="D35" s="82" t="str">
        <x:f>IF(AND(U35="Rankeado",A35&lt;=6),"Sim","Não")</x:f>
        <x:v>Não</x:v>
      </x:c>
      <x:c r="E35" s="82" t="n">
        <x:v>56</x:v>
      </x:c>
      <x:c r="F35" s="80" t="str">
        <x:v>Mankey</x:v>
      </x:c>
      <x:c r="G35" s="82" t="str">
        <x:v>Lutador</x:v>
      </x:c>
      <x:c r="H35" s="82" t="str">
        <x:v>Físico</x:v>
      </x:c>
      <x:c r="I35" s="142" t="n">
        <x:f>ROUND(100*(Metodologia!$B$17*(Q35/Metodologia!$B$22)+Metodologia!$B$18*(R35/Metodologia!$B$23)+Metodologia!$B$19*(S35/Metodologia!$B$24)+Metodologia!$B$20*(P35/Metodologia!$B$25)+Metodologia!$B$21*(J35/Metodologia!$B$26)),2)</x:f>
        <x:v>45.67</x:v>
      </x:c>
      <x:c r="J35" s="82" t="n">
        <x:f>SUM(K35:P35)</x:f>
        <x:v>305</x:v>
      </x:c>
      <x:c r="K35" s="82" t="n">
        <x:v>40</x:v>
      </x:c>
      <x:c r="L35" s="82" t="n">
        <x:v>80</x:v>
      </x:c>
      <x:c r="M35" s="82" t="n">
        <x:v>35</x:v>
      </x:c>
      <x:c r="N35" s="82" t="n">
        <x:v>35</x:v>
      </x:c>
      <x:c r="O35" s="82" t="n">
        <x:v>45</x:v>
      </x:c>
      <x:c r="P35" s="82" t="n">
        <x:v>70</x:v>
      </x:c>
      <x:c r="Q35" s="143" t="n">
        <x:f>MAX(L35,N35)*Metodologia!$B$16</x:f>
        <x:v>104</x:v>
      </x:c>
      <x:c r="R35" s="143" t="n">
        <x:f>MIN(L35,N35)*Metodologia!$B$16</x:f>
        <x:v>45.5</x:v>
      </x:c>
      <x:c r="S35" s="143" t="n">
        <x:f>SQRT(K35*AVERAGE(M35,O35)*Metodologia!$B$16)</x:f>
        <x:v>45.60701700396552</x:v>
      </x:c>
      <x:c r="T35" s="82" t="str">
        <x:v>Sim</x:v>
      </x:c>
      <x:c r="U35" s="82" t="str">
        <x:v>Rankeado</x:v>
      </x:c>
      <x:c r="V35" s="82" t="str">
        <x:v>Perfil físico; melhor atributo ofensivo 80, ofensiva secundária 35, robustez relativa 29% e Speed 70. O índice privilegia dano de hunt, sem ignorar sobrevivência.</x:v>
      </x:c>
      <x:c r="W35" s="82" t="str">
        <x:v>Fica atrás de Teddiursa principalmente por robustez sustentada 27.0% menor e ofensiva secundária 30.0% menor.</x:v>
      </x:c>
      <x:c r="X35" s="82" t="str">
        <x:v>Fica à frente de Aipom porque possui teto ofensivo 14.3% maior.</x:v>
      </x:c>
      <x:c r="Y35" s="154" t="str">
        <x:v>https://poke.idleworld.online/pokepedia/pokemon/mankey</x:v>
      </x:c>
    </x:row>
    <x:row r="36" ht="48" customHeight="1">
      <x:c r="A36" s="82" t="n">
        <x:f>IF(U36&lt;&gt;"Rankeado","",COUNTIFS($U$5:$U$52,"Rankeado",$I$5:$I$52,"&gt;"&amp;I36)+COUNTIFS($U$5:U36,"Rankeado",$I$5:I36,I36))</x:f>
        <x:v>32</x:v>
      </x:c>
      <x:c r="B36" s="82" t="n">
        <x:f>COUNTIF($I$5:$I$52,"&gt;"&amp;I36)+COUNTIF($I$5:I36,I36)</x:f>
        <x:v>32</x:v>
      </x:c>
      <x:c r="C36" s="82" t="str">
        <x:f>IF(I36&gt;=80,"S+",IF(I36&gt;=72,"S",IF(I36&gt;=65,"A",IF(I36&gt;=58,"B",IF(I36&gt;=50,"C",IF(I36&gt;=42,"D","E"))))))</x:f>
        <x:v>D</x:v>
      </x:c>
      <x:c r="D36" s="82" t="str">
        <x:f>IF(AND(U36="Rankeado",A36&lt;=6),"Sim","Não")</x:f>
        <x:v>Não</x:v>
      </x:c>
      <x:c r="E36" s="82" t="n">
        <x:v>190</x:v>
      </x:c>
      <x:c r="F36" s="80" t="str">
        <x:v>Aipom</x:v>
      </x:c>
      <x:c r="G36" s="82" t="str">
        <x:v>Normal</x:v>
      </x:c>
      <x:c r="H36" s="82" t="str">
        <x:v>Físico</x:v>
      </x:c>
      <x:c r="I36" s="142" t="n">
        <x:f>ROUND(100*(Metodologia!$B$17*(Q36/Metodologia!$B$22)+Metodologia!$B$18*(R36/Metodologia!$B$23)+Metodologia!$B$19*(S36/Metodologia!$B$24)+Metodologia!$B$20*(P36/Metodologia!$B$25)+Metodologia!$B$21*(J36/Metodologia!$B$26)),2)</x:f>
        <x:v>45.29</x:v>
      </x:c>
      <x:c r="J36" s="82" t="n">
        <x:f>SUM(K36:P36)</x:f>
        <x:v>360</x:v>
      </x:c>
      <x:c r="K36" s="82" t="n">
        <x:v>55</x:v>
      </x:c>
      <x:c r="L36" s="82" t="n">
        <x:v>70</x:v>
      </x:c>
      <x:c r="M36" s="82" t="n">
        <x:v>55</x:v>
      </x:c>
      <x:c r="N36" s="82" t="n">
        <x:v>40</x:v>
      </x:c>
      <x:c r="O36" s="82" t="n">
        <x:v>55</x:v>
      </x:c>
      <x:c r="P36" s="82" t="n">
        <x:v>85</x:v>
      </x:c>
      <x:c r="Q36" s="143" t="n">
        <x:f>MAX(L36,N36)*Metodologia!$B$16</x:f>
        <x:v>91</x:v>
      </x:c>
      <x:c r="R36" s="143" t="n">
        <x:f>MIN(L36,N36)*Metodologia!$B$16</x:f>
        <x:v>52</x:v>
      </x:c>
      <x:c r="S36" s="143" t="n">
        <x:f>SQRT(K36*AVERAGE(M36,O36)*Metodologia!$B$16)</x:f>
        <x:v>62.70964838045259</x:v>
      </x:c>
      <x:c r="T36" s="82" t="str">
        <x:v>Não</x:v>
      </x:c>
      <x:c r="U36" s="82" t="str">
        <x:v>Rankeado</x:v>
      </x:c>
      <x:c r="V36" s="82" t="str">
        <x:v>Perfil físico; melhor atributo ofensivo 70, ofensiva secundária 40, robustez relativa 40% e Speed 85. O índice privilegia dano de hunt, sem ignorar sobrevivência.</x:v>
      </x:c>
      <x:c r="W36" s="82" t="str">
        <x:v>Fica atrás de Mankey principalmente por teto ofensivo 12.5% menor.</x:v>
      </x:c>
      <x:c r="X36" s="82" t="str">
        <x:v>Fica à frente de Machop porque possui velocidade 142.9% maior e ofensiva secundária 14.3% maior.</x:v>
      </x:c>
      <x:c r="Y36" s="154" t="str">
        <x:v>https://poke.idleworld.online/pokepedia/pokemon/aipom</x:v>
      </x:c>
    </x:row>
    <x:row r="37" ht="48" customHeight="1">
      <x:c r="A37" s="82" t="n">
        <x:f>IF(U37&lt;&gt;"Rankeado","",COUNTIFS($U$5:$U$52,"Rankeado",$I$5:$I$52,"&gt;"&amp;I37)+COUNTIFS($U$5:U37,"Rankeado",$I$5:I37,I37))</x:f>
        <x:v>33</x:v>
      </x:c>
      <x:c r="B37" s="82" t="n">
        <x:f>COUNTIF($I$5:$I$52,"&gt;"&amp;I37)+COUNTIF($I$5:I37,I37)</x:f>
        <x:v>33</x:v>
      </x:c>
      <x:c r="C37" s="82" t="str">
        <x:f>IF(I37&gt;=80,"S+",IF(I37&gt;=72,"S",IF(I37&gt;=65,"A",IF(I37&gt;=58,"B",IF(I37&gt;=50,"C",IF(I37&gt;=42,"D","E"))))))</x:f>
        <x:v>D</x:v>
      </x:c>
      <x:c r="D37" s="82" t="str">
        <x:f>IF(AND(U37="Rankeado",A37&lt;=6),"Sim","Não")</x:f>
        <x:v>Não</x:v>
      </x:c>
      <x:c r="E37" s="82" t="n">
        <x:v>66</x:v>
      </x:c>
      <x:c r="F37" s="80" t="str">
        <x:v>Machop</x:v>
      </x:c>
      <x:c r="G37" s="82" t="str">
        <x:v>Lutador</x:v>
      </x:c>
      <x:c r="H37" s="82" t="str">
        <x:v>Físico</x:v>
      </x:c>
      <x:c r="I37" s="142" t="n">
        <x:f>ROUND(100*(Metodologia!$B$17*(Q37/Metodologia!$B$22)+Metodologia!$B$18*(R37/Metodologia!$B$23)+Metodologia!$B$19*(S37/Metodologia!$B$24)+Metodologia!$B$20*(P37/Metodologia!$B$25)+Metodologia!$B$21*(J37/Metodologia!$B$26)),2)</x:f>
        <x:v>44.94</x:v>
      </x:c>
      <x:c r="J37" s="82" t="n">
        <x:f>SUM(K37:P37)</x:f>
        <x:v>305</x:v>
      </x:c>
      <x:c r="K37" s="82" t="n">
        <x:v>70</x:v>
      </x:c>
      <x:c r="L37" s="82" t="n">
        <x:v>80</x:v>
      </x:c>
      <x:c r="M37" s="82" t="n">
        <x:v>50</x:v>
      </x:c>
      <x:c r="N37" s="82" t="n">
        <x:v>35</x:v>
      </x:c>
      <x:c r="O37" s="82" t="n">
        <x:v>35</x:v>
      </x:c>
      <x:c r="P37" s="82" t="n">
        <x:v>35</x:v>
      </x:c>
      <x:c r="Q37" s="143" t="n">
        <x:f>MAX(L37,N37)*Metodologia!$B$16</x:f>
        <x:v>104</x:v>
      </x:c>
      <x:c r="R37" s="143" t="n">
        <x:f>MIN(L37,N37)*Metodologia!$B$16</x:f>
        <x:v>45.5</x:v>
      </x:c>
      <x:c r="S37" s="143" t="n">
        <x:f>SQRT(K37*AVERAGE(M37,O37)*Metodologia!$B$16)</x:f>
        <x:v>62.18922736294446</x:v>
      </x:c>
      <x:c r="T37" s="82" t="str">
        <x:v>Sim</x:v>
      </x:c>
      <x:c r="U37" s="82" t="str">
        <x:v>Rankeado</x:v>
      </x:c>
      <x:c r="V37" s="82" t="str">
        <x:v>Perfil físico; melhor atributo ofensivo 80, ofensiva secundária 35, robustez relativa 40% e Speed 35. O índice privilegia dano de hunt, sem ignorar sobrevivência.</x:v>
      </x:c>
      <x:c r="W37" s="82" t="str">
        <x:v>Fica atrás de Aipom principalmente por velocidade 58.8% menor e ofensiva secundária 12.5% menor.</x:v>
      </x:c>
      <x:c r="X37" s="82" t="str">
        <x:v>Fica à frente de Lickitung porque possui teto ofensivo 33.3% maior e velocidade 16.7% maior.</x:v>
      </x:c>
      <x:c r="Y37" s="154" t="str">
        <x:v>https://poke.idleworld.online/pokepedia/pokemon/machop</x:v>
      </x:c>
    </x:row>
    <x:row r="38" ht="48" customHeight="1">
      <x:c r="A38" s="82" t="n">
        <x:f>IF(U38&lt;&gt;"Rankeado","",COUNTIFS($U$5:$U$52,"Rankeado",$I$5:$I$52,"&gt;"&amp;I38)+COUNTIFS($U$5:U38,"Rankeado",$I$5:I38,I38))</x:f>
        <x:v>34</x:v>
      </x:c>
      <x:c r="B38" s="82" t="n">
        <x:f>COUNTIF($I$5:$I$52,"&gt;"&amp;I38)+COUNTIF($I$5:I38,I38)</x:f>
        <x:v>34</x:v>
      </x:c>
      <x:c r="C38" s="82" t="str">
        <x:f>IF(I38&gt;=80,"S+",IF(I38&gt;=72,"S",IF(I38&gt;=65,"A",IF(I38&gt;=58,"B",IF(I38&gt;=50,"C",IF(I38&gt;=42,"D","E"))))))</x:f>
        <x:v>D</x:v>
      </x:c>
      <x:c r="D38" s="82" t="str">
        <x:f>IF(AND(U38="Rankeado",A38&lt;=6),"Sim","Não")</x:f>
        <x:v>Não</x:v>
      </x:c>
      <x:c r="E38" s="82" t="n">
        <x:v>108</x:v>
      </x:c>
      <x:c r="F38" s="80" t="str">
        <x:v>Lickitung</x:v>
      </x:c>
      <x:c r="G38" s="82" t="str">
        <x:v>Normal</x:v>
      </x:c>
      <x:c r="H38" s="82" t="str">
        <x:v>Misto</x:v>
      </x:c>
      <x:c r="I38" s="142" t="n">
        <x:f>ROUND(100*(Metodologia!$B$17*(Q38/Metodologia!$B$22)+Metodologia!$B$18*(R38/Metodologia!$B$23)+Metodologia!$B$19*(S38/Metodologia!$B$24)+Metodologia!$B$20*(P38/Metodologia!$B$25)+Metodologia!$B$21*(J38/Metodologia!$B$26)),2)</x:f>
        <x:v>42.27</x:v>
      </x:c>
      <x:c r="J38" s="82" t="n">
        <x:f>SUM(K38:P38)</x:f>
        <x:v>385</x:v>
      </x:c>
      <x:c r="K38" s="82" t="n">
        <x:v>90</x:v>
      </x:c>
      <x:c r="L38" s="82" t="n">
        <x:v>55</x:v>
      </x:c>
      <x:c r="M38" s="82" t="n">
        <x:v>75</x:v>
      </x:c>
      <x:c r="N38" s="82" t="n">
        <x:v>60</x:v>
      </x:c>
      <x:c r="O38" s="82" t="n">
        <x:v>75</x:v>
      </x:c>
      <x:c r="P38" s="82" t="n">
        <x:v>30</x:v>
      </x:c>
      <x:c r="Q38" s="143" t="n">
        <x:f>MAX(L38,N38)*Metodologia!$B$16</x:f>
        <x:v>78</x:v>
      </x:c>
      <x:c r="R38" s="143" t="n">
        <x:f>MIN(L38,N38)*Metodologia!$B$16</x:f>
        <x:v>71.5</x:v>
      </x:c>
      <x:c r="S38" s="143" t="n">
        <x:f>SQRT(K38*AVERAGE(M38,O38)*Metodologia!$B$16)</x:f>
        <x:v>93.67496997597597</x:v>
      </x:c>
      <x:c r="T38" s="82" t="str">
        <x:v>Sim</x:v>
      </x:c>
      <x:c r="U38" s="82" t="str">
        <x:v>Rankeado</x:v>
      </x:c>
      <x:c r="V38" s="82" t="str">
        <x:v>Perfil misto; melhor atributo ofensivo 60, ofensiva secundária 55, robustez relativa 60% e Speed 30. O índice privilegia dano de hunt, sem ignorar sobrevivência.</x:v>
      </x:c>
      <x:c r="W38" s="82" t="str">
        <x:v>Fica atrás de Machop principalmente por teto ofensivo 25.0% menor e velocidade 14.3% menor.</x:v>
      </x:c>
      <x:c r="X38" s="82" t="str">
        <x:v>Fica à frente de Pidgeotto porque possui robustez sustentada 42.9% maior e ofensiva secundária 10.0% maior.</x:v>
      </x:c>
      <x:c r="Y38" s="154" t="str">
        <x:v>https://poke.idleworld.online/pokepedia/pokemon/lickitung</x:v>
      </x:c>
    </x:row>
    <x:row r="39" ht="48" customHeight="1">
      <x:c r="A39" s="82" t="n">
        <x:f>IF(U39&lt;&gt;"Rankeado","",COUNTIFS($U$5:$U$52,"Rankeado",$I$5:$I$52,"&gt;"&amp;I39)+COUNTIFS($U$5:U39,"Rankeado",$I$5:I39,I39))</x:f>
        <x:v>35</x:v>
      </x:c>
      <x:c r="B39" s="82" t="n">
        <x:f>COUNTIF($I$5:$I$52,"&gt;"&amp;I39)+COUNTIF($I$5:I39,I39)</x:f>
        <x:v>35</x:v>
      </x:c>
      <x:c r="C39" s="82" t="str">
        <x:f>IF(I39&gt;=80,"S+",IF(I39&gt;=72,"S",IF(I39&gt;=65,"A",IF(I39&gt;=58,"B",IF(I39&gt;=50,"C",IF(I39&gt;=42,"D","E"))))))</x:f>
        <x:v>E</x:v>
      </x:c>
      <x:c r="D39" s="82" t="str">
        <x:f>IF(AND(U39="Rankeado",A39&lt;=6),"Sim","Não")</x:f>
        <x:v>Não</x:v>
      </x:c>
      <x:c r="E39" s="82" t="n">
        <x:v>17</x:v>
      </x:c>
      <x:c r="F39" s="80" t="str">
        <x:v>Pidgeotto</x:v>
      </x:c>
      <x:c r="G39" s="82" t="str">
        <x:v>Normal / Voador</x:v>
      </x:c>
      <x:c r="H39" s="82" t="str">
        <x:v>Misto</x:v>
      </x:c>
      <x:c r="I39" s="142" t="n">
        <x:f>ROUND(100*(Metodologia!$B$17*(Q39/Metodologia!$B$22)+Metodologia!$B$18*(R39/Metodologia!$B$23)+Metodologia!$B$19*(S39/Metodologia!$B$24)+Metodologia!$B$20*(P39/Metodologia!$B$25)+Metodologia!$B$21*(J39/Metodologia!$B$26)),2)</x:f>
        <x:v>41.57</x:v>
      </x:c>
      <x:c r="J39" s="82" t="n">
        <x:f>SUM(K39:P39)</x:f>
        <x:v>349</x:v>
      </x:c>
      <x:c r="K39" s="82" t="n">
        <x:v>63</x:v>
      </x:c>
      <x:c r="L39" s="82" t="n">
        <x:v>60</x:v>
      </x:c>
      <x:c r="M39" s="82" t="n">
        <x:v>55</x:v>
      </x:c>
      <x:c r="N39" s="82" t="n">
        <x:v>50</x:v>
      </x:c>
      <x:c r="O39" s="82" t="n">
        <x:v>50</x:v>
      </x:c>
      <x:c r="P39" s="82" t="n">
        <x:v>71</x:v>
      </x:c>
      <x:c r="Q39" s="143" t="n">
        <x:f>MAX(L39,N39)*Metodologia!$B$16</x:f>
        <x:v>78</x:v>
      </x:c>
      <x:c r="R39" s="143" t="n">
        <x:f>MIN(L39,N39)*Metodologia!$B$16</x:f>
        <x:v>65</x:v>
      </x:c>
      <x:c r="S39" s="143" t="n">
        <x:f>SQRT(K39*AVERAGE(M39,O39)*Metodologia!$B$16)</x:f>
        <x:v>65.57247898318317</x:v>
      </x:c>
      <x:c r="T39" s="82" t="str">
        <x:v>Sim</x:v>
      </x:c>
      <x:c r="U39" s="82" t="str">
        <x:v>Rankeado</x:v>
      </x:c>
      <x:c r="V39" s="82" t="str">
        <x:v>Perfil misto; melhor atributo ofensivo 60, ofensiva secundária 50, robustez relativa 42% e Speed 71. O índice privilegia dano de hunt, sem ignorar sobrevivência.</x:v>
      </x:c>
      <x:c r="W39" s="82" t="str">
        <x:v>Fica atrás de Lickitung principalmente por robustez sustentada 30.0% menor e ofensiva secundária 9.1% menor.</x:v>
      </x:c>
      <x:c r="X39" s="82" t="str">
        <x:v>Fica à frente de Eevee porque possui teto ofensivo 9.1% maior e velocidade 29.1% maior.</x:v>
      </x:c>
      <x:c r="Y39" s="154" t="str">
        <x:v>https://poke.idleworld.online/pokepedia/pokemon/pidgeotto</x:v>
      </x:c>
    </x:row>
    <x:row r="40" ht="48" customHeight="1">
      <x:c r="A40" s="82" t="n">
        <x:f>IF(U40&lt;&gt;"Rankeado","",COUNTIFS($U$5:$U$52,"Rankeado",$I$5:$I$52,"&gt;"&amp;I40)+COUNTIFS($U$5:U40,"Rankeado",$I$5:I40,I40))</x:f>
        <x:v>36</x:v>
      </x:c>
      <x:c r="B40" s="82" t="n">
        <x:f>COUNTIF($I$5:$I$52,"&gt;"&amp;I40)+COUNTIF($I$5:I40,I40)</x:f>
        <x:v>36</x:v>
      </x:c>
      <x:c r="C40" s="82" t="str">
        <x:f>IF(I40&gt;=80,"S+",IF(I40&gt;=72,"S",IF(I40&gt;=65,"A",IF(I40&gt;=58,"B",IF(I40&gt;=50,"C",IF(I40&gt;=42,"D","E"))))))</x:f>
        <x:v>E</x:v>
      </x:c>
      <x:c r="D40" s="82" t="str">
        <x:f>IF(AND(U40="Rankeado",A40&lt;=6),"Sim","Não")</x:f>
        <x:v>Não</x:v>
      </x:c>
      <x:c r="E40" s="82" t="n">
        <x:v>133</x:v>
      </x:c>
      <x:c r="F40" s="80" t="str">
        <x:v>Eevee</x:v>
      </x:c>
      <x:c r="G40" s="82" t="str">
        <x:v>Normal</x:v>
      </x:c>
      <x:c r="H40" s="82" t="str">
        <x:v>Misto</x:v>
      </x:c>
      <x:c r="I40" s="142" t="n">
        <x:f>ROUND(100*(Metodologia!$B$17*(Q40/Metodologia!$B$22)+Metodologia!$B$18*(R40/Metodologia!$B$23)+Metodologia!$B$19*(S40/Metodologia!$B$24)+Metodologia!$B$20*(P40/Metodologia!$B$25)+Metodologia!$B$21*(J40/Metodologia!$B$26)),2)</x:f>
        <x:v>37.78</x:v>
      </x:c>
      <x:c r="J40" s="82" t="n">
        <x:f>SUM(K40:P40)</x:f>
        <x:v>325</x:v>
      </x:c>
      <x:c r="K40" s="82" t="n">
        <x:v>55</x:v>
      </x:c>
      <x:c r="L40" s="82" t="n">
        <x:v>55</x:v>
      </x:c>
      <x:c r="M40" s="82" t="n">
        <x:v>50</x:v>
      </x:c>
      <x:c r="N40" s="82" t="n">
        <x:v>45</x:v>
      </x:c>
      <x:c r="O40" s="82" t="n">
        <x:v>65</x:v>
      </x:c>
      <x:c r="P40" s="82" t="n">
        <x:v>55</x:v>
      </x:c>
      <x:c r="Q40" s="143" t="n">
        <x:f>MAX(L40,N40)*Metodologia!$B$16</x:f>
        <x:v>71.5</x:v>
      </x:c>
      <x:c r="R40" s="143" t="n">
        <x:f>MIN(L40,N40)*Metodologia!$B$16</x:f>
        <x:v>58.5</x:v>
      </x:c>
      <x:c r="S40" s="143" t="n">
        <x:f>SQRT(K40*AVERAGE(M40,O40)*Metodologia!$B$16)</x:f>
        <x:v>64.1190299365173</x:v>
      </x:c>
      <x:c r="T40" s="82" t="str">
        <x:v>Não</x:v>
      </x:c>
      <x:c r="U40" s="82" t="str">
        <x:v>Rankeado</x:v>
      </x:c>
      <x:c r="V40" s="82" t="str">
        <x:v>Perfil misto; melhor atributo ofensivo 55, ofensiva secundária 45, robustez relativa 41% e Speed 55. O índice privilegia dano de hunt, sem ignorar sobrevivência.</x:v>
      </x:c>
      <x:c r="W40" s="82" t="str">
        <x:v>Fica atrás de Pidgeotto principalmente por teto ofensivo 8.3% menor e velocidade 22.5% menor.</x:v>
      </x:c>
      <x:c r="X40" s="82" t="str">
        <x:v>Fica à frente de Spearow porque possui robustez sustentada 61.0% maior e ofensiva secundária 45.2% maior.</x:v>
      </x:c>
      <x:c r="Y40" s="154" t="str">
        <x:v>https://poke.idleworld.online/pokepedia/pokemon/eevee</x:v>
      </x:c>
    </x:row>
    <x:row r="41" ht="48" customHeight="1">
      <x:c r="A41" s="82" t="n">
        <x:f>IF(U41&lt;&gt;"Rankeado","",COUNTIFS($U$5:$U$52,"Rankeado",$I$5:$I$52,"&gt;"&amp;I41)+COUNTIFS($U$5:U41,"Rankeado",$I$5:I41,I41))</x:f>
        <x:v>37</x:v>
      </x:c>
      <x:c r="B41" s="82" t="n">
        <x:f>COUNTIF($I$5:$I$52,"&gt;"&amp;I41)+COUNTIF($I$5:I41,I41)</x:f>
        <x:v>37</x:v>
      </x:c>
      <x:c r="C41" s="82" t="str">
        <x:f>IF(I41&gt;=80,"S+",IF(I41&gt;=72,"S",IF(I41&gt;=65,"A",IF(I41&gt;=58,"B",IF(I41&gt;=50,"C",IF(I41&gt;=42,"D","E"))))))</x:f>
        <x:v>E</x:v>
      </x:c>
      <x:c r="D41" s="82" t="str">
        <x:f>IF(AND(U41="Rankeado",A41&lt;=6),"Sim","Não")</x:f>
        <x:v>Não</x:v>
      </x:c>
      <x:c r="E41" s="82" t="n">
        <x:v>21</x:v>
      </x:c>
      <x:c r="F41" s="80" t="str">
        <x:v>Spearow</x:v>
      </x:c>
      <x:c r="G41" s="82" t="str">
        <x:v>Normal / Voador</x:v>
      </x:c>
      <x:c r="H41" s="82" t="str">
        <x:v>Físico</x:v>
      </x:c>
      <x:c r="I41" s="142" t="n">
        <x:f>ROUND(100*(Metodologia!$B$17*(Q41/Metodologia!$B$22)+Metodologia!$B$18*(R41/Metodologia!$B$23)+Metodologia!$B$19*(S41/Metodologia!$B$24)+Metodologia!$B$20*(P41/Metodologia!$B$25)+Metodologia!$B$21*(J41/Metodologia!$B$26)),2)</x:f>
        <x:v>36.64</x:v>
      </x:c>
      <x:c r="J41" s="82" t="n">
        <x:f>SUM(K41:P41)</x:f>
        <x:v>262</x:v>
      </x:c>
      <x:c r="K41" s="82" t="n">
        <x:v>40</x:v>
      </x:c>
      <x:c r="L41" s="82" t="n">
        <x:v>60</x:v>
      </x:c>
      <x:c r="M41" s="82" t="n">
        <x:v>30</x:v>
      </x:c>
      <x:c r="N41" s="82" t="n">
        <x:v>31</x:v>
      </x:c>
      <x:c r="O41" s="82" t="n">
        <x:v>31</x:v>
      </x:c>
      <x:c r="P41" s="82" t="n">
        <x:v>70</x:v>
      </x:c>
      <x:c r="Q41" s="143" t="n">
        <x:f>MAX(L41,N41)*Metodologia!$B$16</x:f>
        <x:v>78</x:v>
      </x:c>
      <x:c r="R41" s="143" t="n">
        <x:f>MIN(L41,N41)*Metodologia!$B$16</x:f>
        <x:v>40.300000000000004</x:v>
      </x:c>
      <x:c r="S41" s="143" t="n">
        <x:f>SQRT(K41*AVERAGE(M41,O41)*Metodologia!$B$16)</x:f>
        <x:v>39.824615503479755</x:v>
      </x:c>
      <x:c r="T41" s="82" t="str">
        <x:v>Sim</x:v>
      </x:c>
      <x:c r="U41" s="82" t="str">
        <x:v>Rankeado</x:v>
      </x:c>
      <x:c r="V41" s="82" t="str">
        <x:v>Perfil físico; melhor atributo ofensivo 60, ofensiva secundária 31, robustez relativa 26% e Speed 70. O índice privilegia dano de hunt, sem ignorar sobrevivência.</x:v>
      </x:c>
      <x:c r="W41" s="82" t="str">
        <x:v>Fica atrás de Eevee principalmente por robustez sustentada 37.9% menor e ofensiva secundária 31.1% menor.</x:v>
      </x:c>
      <x:c r="X41" s="82" t="str">
        <x:v>Fica à frente de Rattata porque possui teto ofensivo 7.1% maior e ofensiva secundária 24.0% maior.</x:v>
      </x:c>
      <x:c r="Y41" s="154" t="str">
        <x:v>https://poke.idleworld.online/pokepedia/pokemon/spearow</x:v>
      </x:c>
    </x:row>
    <x:row r="42" ht="48" customHeight="1">
      <x:c r="A42" s="82" t="n">
        <x:f>IF(U42&lt;&gt;"Rankeado","",COUNTIFS($U$5:$U$52,"Rankeado",$I$5:$I$52,"&gt;"&amp;I42)+COUNTIFS($U$5:U42,"Rankeado",$I$5:I42,I42))</x:f>
        <x:v>38</x:v>
      </x:c>
      <x:c r="B42" s="82" t="n">
        <x:f>COUNTIF($I$5:$I$52,"&gt;"&amp;I42)+COUNTIF($I$5:I42,I42)</x:f>
        <x:v>38</x:v>
      </x:c>
      <x:c r="C42" s="82" t="str">
        <x:f>IF(I42&gt;=80,"S+",IF(I42&gt;=72,"S",IF(I42&gt;=65,"A",IF(I42&gt;=58,"B",IF(I42&gt;=50,"C",IF(I42&gt;=42,"D","E"))))))</x:f>
        <x:v>E</x:v>
      </x:c>
      <x:c r="D42" s="82" t="str">
        <x:f>IF(AND(U42="Rankeado",A42&lt;=6),"Sim","Não")</x:f>
        <x:v>Não</x:v>
      </x:c>
      <x:c r="E42" s="82" t="n">
        <x:v>19</x:v>
      </x:c>
      <x:c r="F42" s="80" t="str">
        <x:v>Rattata</x:v>
      </x:c>
      <x:c r="G42" s="82" t="str">
        <x:v>Normal</x:v>
      </x:c>
      <x:c r="H42" s="82" t="str">
        <x:v>Físico</x:v>
      </x:c>
      <x:c r="I42" s="142" t="n">
        <x:f>ROUND(100*(Metodologia!$B$17*(Q42/Metodologia!$B$22)+Metodologia!$B$18*(R42/Metodologia!$B$23)+Metodologia!$B$19*(S42/Metodologia!$B$24)+Metodologia!$B$20*(P42/Metodologia!$B$25)+Metodologia!$B$21*(J42/Metodologia!$B$26)),2)</x:f>
        <x:v>34.33</x:v>
      </x:c>
      <x:c r="J42" s="82" t="n">
        <x:f>SUM(K42:P42)</x:f>
        <x:v>253</x:v>
      </x:c>
      <x:c r="K42" s="82" t="n">
        <x:v>30</x:v>
      </x:c>
      <x:c r="L42" s="82" t="n">
        <x:v>56</x:v>
      </x:c>
      <x:c r="M42" s="82" t="n">
        <x:v>35</x:v>
      </x:c>
      <x:c r="N42" s="82" t="n">
        <x:v>25</x:v>
      </x:c>
      <x:c r="O42" s="82" t="n">
        <x:v>35</x:v>
      </x:c>
      <x:c r="P42" s="82" t="n">
        <x:v>72</x:v>
      </x:c>
      <x:c r="Q42" s="143" t="n">
        <x:f>MAX(L42,N42)*Metodologia!$B$16</x:f>
        <x:v>72.8</x:v>
      </x:c>
      <x:c r="R42" s="143" t="n">
        <x:f>MIN(L42,N42)*Metodologia!$B$16</x:f>
        <x:v>32.5</x:v>
      </x:c>
      <x:c r="S42" s="143" t="n">
        <x:f>SQRT(K42*AVERAGE(M42,O42)*Metodologia!$B$16)</x:f>
        <x:v>36.945906403822335</x:v>
      </x:c>
      <x:c r="T42" s="82" t="str">
        <x:v>Sim</x:v>
      </x:c>
      <x:c r="U42" s="82" t="str">
        <x:v>Rankeado</x:v>
      </x:c>
      <x:c r="V42" s="82" t="str">
        <x:v>Perfil físico; melhor atributo ofensivo 56, ofensiva secundária 25, robustez relativa 24% e Speed 72. O índice privilegia dano de hunt, sem ignorar sobrevivência.</x:v>
      </x:c>
      <x:c r="W42" s="82" t="str">
        <x:v>Fica atrás de Spearow principalmente por teto ofensivo 6.7% menor e ofensiva secundária 19.4% menor.</x:v>
      </x:c>
      <x:c r="X42" s="82" t="str">
        <x:v>Fica à frente de Ditto porque possui teto ofensivo 16.7% maior e velocidade 50.0% maior.</x:v>
      </x:c>
      <x:c r="Y42" s="154" t="str">
        <x:v>https://poke.idleworld.online/pokepedia/pokemon/rattata</x:v>
      </x:c>
    </x:row>
    <x:row r="43" ht="48" customHeight="1">
      <x:c r="A43" s="82" t="n">
        <x:f>IF(U43&lt;&gt;"Rankeado","",COUNTIFS($U$5:$U$52,"Rankeado",$I$5:$I$52,"&gt;"&amp;I43)+COUNTIFS($U$5:U43,"Rankeado",$I$5:I43,I43))</x:f>
        <x:v>39</x:v>
      </x:c>
      <x:c r="B43" s="82" t="n">
        <x:f>COUNTIF($I$5:$I$52,"&gt;"&amp;I43)+COUNTIF($I$5:I43,I43)</x:f>
        <x:v>39</x:v>
      </x:c>
      <x:c r="C43" s="82" t="str">
        <x:f>IF(I43&gt;=80,"S+",IF(I43&gt;=72,"S",IF(I43&gt;=65,"A",IF(I43&gt;=58,"B",IF(I43&gt;=50,"C",IF(I43&gt;=42,"D","E"))))))</x:f>
        <x:v>E</x:v>
      </x:c>
      <x:c r="D43" s="82" t="str">
        <x:f>IF(AND(U43="Rankeado",A43&lt;=6),"Sim","Não")</x:f>
        <x:v>Não</x:v>
      </x:c>
      <x:c r="E43" s="82" t="n">
        <x:v>132</x:v>
      </x:c>
      <x:c r="F43" s="80" t="str">
        <x:v>Ditto</x:v>
      </x:c>
      <x:c r="G43" s="82" t="str">
        <x:v>Normal</x:v>
      </x:c>
      <x:c r="H43" s="82" t="str">
        <x:v>Misto</x:v>
      </x:c>
      <x:c r="I43" s="142" t="n">
        <x:f>ROUND(100*(Metodologia!$B$17*(Q43/Metodologia!$B$22)+Metodologia!$B$18*(R43/Metodologia!$B$23)+Metodologia!$B$19*(S43/Metodologia!$B$24)+Metodologia!$B$20*(P43/Metodologia!$B$25)+Metodologia!$B$21*(J43/Metodologia!$B$26)),2)</x:f>
        <x:v>33.68</x:v>
      </x:c>
      <x:c r="J43" s="82" t="n">
        <x:f>SUM(K43:P43)</x:f>
        <x:v>288</x:v>
      </x:c>
      <x:c r="K43" s="82" t="n">
        <x:v>48</x:v>
      </x:c>
      <x:c r="L43" s="82" t="n">
        <x:v>48</x:v>
      </x:c>
      <x:c r="M43" s="82" t="n">
        <x:v>48</x:v>
      </x:c>
      <x:c r="N43" s="82" t="n">
        <x:v>48</x:v>
      </x:c>
      <x:c r="O43" s="82" t="n">
        <x:v>48</x:v>
      </x:c>
      <x:c r="P43" s="82" t="n">
        <x:v>48</x:v>
      </x:c>
      <x:c r="Q43" s="143" t="n">
        <x:f>MAX(L43,N43)*Metodologia!$B$16</x:f>
        <x:v>62.400000000000006</x:v>
      </x:c>
      <x:c r="R43" s="143" t="n">
        <x:f>MIN(L43,N43)*Metodologia!$B$16</x:f>
        <x:v>62.400000000000006</x:v>
      </x:c>
      <x:c r="S43" s="143" t="n">
        <x:f>SQRT(K43*AVERAGE(M43,O43)*Metodologia!$B$16)</x:f>
        <x:v>54.72842040475862</x:v>
      </x:c>
      <x:c r="T43" s="82" t="str">
        <x:v>Não</x:v>
      </x:c>
      <x:c r="U43" s="82" t="str">
        <x:v>Rankeado</x:v>
      </x:c>
      <x:c r="V43" s="82" t="str">
        <x:v>Perfil misto; melhor atributo ofensivo 48, ofensiva secundária 48, robustez relativa 35% e Speed 48. O índice privilegia dano de hunt, sem ignorar sobrevivência.</x:v>
      </x:c>
      <x:c r="W43" s="82" t="str">
        <x:v>Fica atrás de Rattata principalmente por teto ofensivo 14.3% menor e velocidade 33.3% menor.</x:v>
      </x:c>
      <x:c r="X43" s="82" t="str">
        <x:v>Fica à frente de Chansey porque possui teto ofensivo 37.1% maior e ofensiva secundária 860.0% maior.</x:v>
      </x:c>
      <x:c r="Y43" s="154" t="str">
        <x:v>https://poke.idleworld.online/pokepedia/pokemon/ditto</x:v>
      </x:c>
    </x:row>
    <x:row r="44" ht="48" customHeight="1">
      <x:c r="A44" s="82" t="n">
        <x:f>IF(U44&lt;&gt;"Rankeado","",COUNTIFS($U$5:$U$52,"Rankeado",$I$5:$I$52,"&gt;"&amp;I44)+COUNTIFS($U$5:U44,"Rankeado",$I$5:I44,I44))</x:f>
        <x:v>40</x:v>
      </x:c>
      <x:c r="B44" s="82" t="n">
        <x:f>COUNTIF($I$5:$I$52,"&gt;"&amp;I44)+COUNTIF($I$5:I44,I44)</x:f>
        <x:v>40</x:v>
      </x:c>
      <x:c r="C44" s="82" t="str">
        <x:f>IF(I44&gt;=80,"S+",IF(I44&gt;=72,"S",IF(I44&gt;=65,"A",IF(I44&gt;=58,"B",IF(I44&gt;=50,"C",IF(I44&gt;=42,"D","E"))))))</x:f>
        <x:v>E</x:v>
      </x:c>
      <x:c r="D44" s="82" t="str">
        <x:f>IF(AND(U44="Rankeado",A44&lt;=6),"Sim","Não")</x:f>
        <x:v>Não</x:v>
      </x:c>
      <x:c r="E44" s="82" t="n">
        <x:v>113</x:v>
      </x:c>
      <x:c r="F44" s="80" t="str">
        <x:v>Chansey</x:v>
      </x:c>
      <x:c r="G44" s="82" t="str">
        <x:v>Normal</x:v>
      </x:c>
      <x:c r="H44" s="82" t="str">
        <x:v>Especial</x:v>
      </x:c>
      <x:c r="I44" s="142" t="n">
        <x:f>ROUND(100*(Metodologia!$B$17*(Q44/Metodologia!$B$22)+Metodologia!$B$18*(R44/Metodologia!$B$23)+Metodologia!$B$19*(S44/Metodologia!$B$24)+Metodologia!$B$20*(P44/Metodologia!$B$25)+Metodologia!$B$21*(J44/Metodologia!$B$26)),2)</x:f>
        <x:v>33.67</x:v>
      </x:c>
      <x:c r="J44" s="82" t="n">
        <x:f>SUM(K44:P44)</x:f>
        <x:v>450</x:v>
      </x:c>
      <x:c r="K44" s="82" t="n">
        <x:v>250</x:v>
      </x:c>
      <x:c r="L44" s="82" t="n">
        <x:v>5</x:v>
      </x:c>
      <x:c r="M44" s="82" t="n">
        <x:v>5</x:v>
      </x:c>
      <x:c r="N44" s="82" t="n">
        <x:v>35</x:v>
      </x:c>
      <x:c r="O44" s="82" t="n">
        <x:v>105</x:v>
      </x:c>
      <x:c r="P44" s="82" t="n">
        <x:v>50</x:v>
      </x:c>
      <x:c r="Q44" s="143" t="n">
        <x:f>MAX(L44,N44)*Metodologia!$B$16</x:f>
        <x:v>45.5</x:v>
      </x:c>
      <x:c r="R44" s="143" t="n">
        <x:f>MIN(L44,N44)*Metodologia!$B$16</x:f>
        <x:v>6.5</x:v>
      </x:c>
      <x:c r="S44" s="143" t="n">
        <x:f>SQRT(K44*AVERAGE(M44,O44)*Metodologia!$B$16)</x:f>
        <x:v>133.69741957120937</x:v>
      </x:c>
      <x:c r="T44" s="82" t="str">
        <x:v>Não</x:v>
      </x:c>
      <x:c r="U44" s="82" t="str">
        <x:v>Rankeado</x:v>
      </x:c>
      <x:c r="V44" s="82" t="str">
        <x:v>Perfil especial; melhor atributo ofensivo 35, ofensiva secundária 5, robustez relativa 86% e Speed 50. O índice privilegia dano de hunt, sem ignorar sobrevivência.</x:v>
      </x:c>
      <x:c r="W44" s="82" t="str">
        <x:v>Fica atrás de Ditto principalmente por teto ofensivo 27.1% menor e ofensiva secundária 89.6% menor.</x:v>
      </x:c>
      <x:c r="X44" s="82" t="str">
        <x:v>Fica à frente de Meowth porque possui robustez sustentada 202.8% maior e total de stats 55.2% maior.</x:v>
      </x:c>
      <x:c r="Y44" s="154" t="str">
        <x:v>https://poke.idleworld.online/pokepedia/pokemon/chansey</x:v>
      </x:c>
    </x:row>
    <x:row r="45" ht="48" customHeight="1">
      <x:c r="A45" s="82" t="n">
        <x:f>IF(U45&lt;&gt;"Rankeado","",COUNTIFS($U$5:$U$52,"Rankeado",$I$5:$I$52,"&gt;"&amp;I45)+COUNTIFS($U$5:U45,"Rankeado",$I$5:I45,I45))</x:f>
        <x:v>41</x:v>
      </x:c>
      <x:c r="B45" s="82" t="n">
        <x:f>COUNTIF($I$5:$I$52,"&gt;"&amp;I45)+COUNTIF($I$5:I45,I45)</x:f>
        <x:v>41</x:v>
      </x:c>
      <x:c r="C45" s="82" t="str">
        <x:f>IF(I45&gt;=80,"S+",IF(I45&gt;=72,"S",IF(I45&gt;=65,"A",IF(I45&gt;=58,"B",IF(I45&gt;=50,"C",IF(I45&gt;=42,"D","E"))))))</x:f>
        <x:v>E</x:v>
      </x:c>
      <x:c r="D45" s="82" t="str">
        <x:f>IF(AND(U45="Rankeado",A45&lt;=6),"Sim","Não")</x:f>
        <x:v>Não</x:v>
      </x:c>
      <x:c r="E45" s="82" t="n">
        <x:v>52</x:v>
      </x:c>
      <x:c r="F45" s="80" t="str">
        <x:v>Meowth</x:v>
      </x:c>
      <x:c r="G45" s="82" t="str">
        <x:v>Normal</x:v>
      </x:c>
      <x:c r="H45" s="82" t="str">
        <x:v>Misto</x:v>
      </x:c>
      <x:c r="I45" s="142" t="n">
        <x:f>ROUND(100*(Metodologia!$B$17*(Q45/Metodologia!$B$22)+Metodologia!$B$18*(R45/Metodologia!$B$23)+Metodologia!$B$19*(S45/Metodologia!$B$24)+Metodologia!$B$20*(P45/Metodologia!$B$25)+Metodologia!$B$21*(J45/Metodologia!$B$26)),2)</x:f>
        <x:v>33.57</x:v>
      </x:c>
      <x:c r="J45" s="82" t="n">
        <x:f>SUM(K45:P45)</x:f>
        <x:v>290</x:v>
      </x:c>
      <x:c r="K45" s="82" t="n">
        <x:v>40</x:v>
      </x:c>
      <x:c r="L45" s="82" t="n">
        <x:v>45</x:v>
      </x:c>
      <x:c r="M45" s="82" t="n">
        <x:v>35</x:v>
      </x:c>
      <x:c r="N45" s="82" t="n">
        <x:v>40</x:v>
      </x:c>
      <x:c r="O45" s="82" t="n">
        <x:v>40</x:v>
      </x:c>
      <x:c r="P45" s="82" t="n">
        <x:v>90</x:v>
      </x:c>
      <x:c r="Q45" s="143" t="n">
        <x:f>MAX(L45,N45)*Metodologia!$B$16</x:f>
        <x:v>58.5</x:v>
      </x:c>
      <x:c r="R45" s="143" t="n">
        <x:f>MIN(L45,N45)*Metodologia!$B$16</x:f>
        <x:v>52</x:v>
      </x:c>
      <x:c r="S45" s="143" t="n">
        <x:f>SQRT(K45*AVERAGE(M45,O45)*Metodologia!$B$16)</x:f>
        <x:v>44.15880433163923</x:v>
      </x:c>
      <x:c r="T45" s="82" t="str">
        <x:v>Sim</x:v>
      </x:c>
      <x:c r="U45" s="82" t="str">
        <x:v>Rankeado</x:v>
      </x:c>
      <x:c r="V45" s="82" t="str">
        <x:v>Perfil misto; melhor atributo ofensivo 45, ofensiva secundária 40, robustez relativa 28% e Speed 90. O índice privilegia dano de hunt, sem ignorar sobrevivência.</x:v>
      </x:c>
      <x:c r="W45" s="82" t="str">
        <x:v>Fica atrás de Chansey principalmente por robustez sustentada 67.0% menor e total de stats 35.6% menor.</x:v>
      </x:c>
      <x:c r="X45" s="82" t="str">
        <x:v>Fica à frente de Pidgey porque possui velocidade 60.7% maior e ofensiva secundária 14.3% maior.</x:v>
      </x:c>
      <x:c r="Y45" s="154" t="str">
        <x:v>https://poke.idleworld.online/pokepedia/pokemon/meowth</x:v>
      </x:c>
    </x:row>
    <x:row r="46" ht="48" customHeight="1">
      <x:c r="A46" s="82" t="n">
        <x:f>IF(U46&lt;&gt;"Rankeado","",COUNTIFS($U$5:$U$52,"Rankeado",$I$5:$I$52,"&gt;"&amp;I46)+COUNTIFS($U$5:U46,"Rankeado",$I$5:I46,I46))</x:f>
        <x:v>42</x:v>
      </x:c>
      <x:c r="B46" s="82" t="n">
        <x:f>COUNTIF($I$5:$I$52,"&gt;"&amp;I46)+COUNTIF($I$5:I46,I46)</x:f>
        <x:v>42</x:v>
      </x:c>
      <x:c r="C46" s="82" t="str">
        <x:f>IF(I46&gt;=80,"S+",IF(I46&gt;=72,"S",IF(I46&gt;=65,"A",IF(I46&gt;=58,"B",IF(I46&gt;=50,"C",IF(I46&gt;=42,"D","E"))))))</x:f>
        <x:v>E</x:v>
      </x:c>
      <x:c r="D46" s="82" t="str">
        <x:f>IF(AND(U46="Rankeado",A46&lt;=6),"Sim","Não")</x:f>
        <x:v>Não</x:v>
      </x:c>
      <x:c r="E46" s="82" t="n">
        <x:v>16</x:v>
      </x:c>
      <x:c r="F46" s="80" t="str">
        <x:v>Pidgey</x:v>
      </x:c>
      <x:c r="G46" s="82" t="str">
        <x:v>Normal / Voador</x:v>
      </x:c>
      <x:c r="H46" s="82" t="str">
        <x:v>Misto</x:v>
      </x:c>
      <x:c r="I46" s="142" t="n">
        <x:f>ROUND(100*(Metodologia!$B$17*(Q46/Metodologia!$B$22)+Metodologia!$B$18*(R46/Metodologia!$B$23)+Metodologia!$B$19*(S46/Metodologia!$B$24)+Metodologia!$B$20*(P46/Metodologia!$B$25)+Metodologia!$B$21*(J46/Metodologia!$B$26)),2)</x:f>
        <x:v>30.57</x:v>
      </x:c>
      <x:c r="J46" s="82" t="n">
        <x:f>SUM(K46:P46)</x:f>
        <x:v>251</x:v>
      </x:c>
      <x:c r="K46" s="82" t="n">
        <x:v>40</x:v>
      </x:c>
      <x:c r="L46" s="82" t="n">
        <x:v>45</x:v>
      </x:c>
      <x:c r="M46" s="82" t="n">
        <x:v>40</x:v>
      </x:c>
      <x:c r="N46" s="82" t="n">
        <x:v>35</x:v>
      </x:c>
      <x:c r="O46" s="82" t="n">
        <x:v>35</x:v>
      </x:c>
      <x:c r="P46" s="82" t="n">
        <x:v>56</x:v>
      </x:c>
      <x:c r="Q46" s="143" t="n">
        <x:f>MAX(L46,N46)*Metodologia!$B$16</x:f>
        <x:v>58.5</x:v>
      </x:c>
      <x:c r="R46" s="143" t="n">
        <x:f>MIN(L46,N46)*Metodologia!$B$16</x:f>
        <x:v>45.5</x:v>
      </x:c>
      <x:c r="S46" s="143" t="n">
        <x:f>SQRT(K46*AVERAGE(M46,O46)*Metodologia!$B$16)</x:f>
        <x:v>44.15880433163923</x:v>
      </x:c>
      <x:c r="T46" s="82" t="str">
        <x:v>Sim</x:v>
      </x:c>
      <x:c r="U46" s="82" t="str">
        <x:v>Rankeado</x:v>
      </x:c>
      <x:c r="V46" s="82" t="str">
        <x:v>Perfil misto; melhor atributo ofensivo 45, ofensiva secundária 35, robustez relativa 28% e Speed 56. O índice privilegia dano de hunt, sem ignorar sobrevivência.</x:v>
      </x:c>
      <x:c r="W46" s="82" t="str">
        <x:v>Fica atrás de Meowth principalmente por velocidade 37.8% menor e ofensiva secundária 12.5% menor.</x:v>
      </x:c>
      <x:c r="X46" s="82" t="str">
        <x:v>Fica à frente de Jigglypuff porque possui velocidade 180.0% maior.</x:v>
      </x:c>
      <x:c r="Y46" s="154" t="str">
        <x:v>https://poke.idleworld.online/pokepedia/pokemon/pidgey</x:v>
      </x:c>
    </x:row>
    <x:row r="47" ht="48" customHeight="1">
      <x:c r="A47" s="82" t="n">
        <x:f>IF(U47&lt;&gt;"Rankeado","",COUNTIFS($U$5:$U$52,"Rankeado",$I$5:$I$52,"&gt;"&amp;I47)+COUNTIFS($U$5:U47,"Rankeado",$I$5:I47,I47))</x:f>
        <x:v>43</x:v>
      </x:c>
      <x:c r="B47" s="82" t="n">
        <x:f>COUNTIF($I$5:$I$52,"&gt;"&amp;I47)+COUNTIF($I$5:I47,I47)</x:f>
        <x:v>43</x:v>
      </x:c>
      <x:c r="C47" s="82" t="str">
        <x:f>IF(I47&gt;=80,"S+",IF(I47&gt;=72,"S",IF(I47&gt;=65,"A",IF(I47&gt;=58,"B",IF(I47&gt;=50,"C",IF(I47&gt;=42,"D","E"))))))</x:f>
        <x:v>E</x:v>
      </x:c>
      <x:c r="D47" s="82" t="str">
        <x:f>IF(AND(U47="Rankeado",A47&lt;=6),"Sim","Não")</x:f>
        <x:v>Não</x:v>
      </x:c>
      <x:c r="E47" s="82" t="n">
        <x:v>39</x:v>
      </x:c>
      <x:c r="F47" s="80" t="str">
        <x:v>Jigglypuff</x:v>
      </x:c>
      <x:c r="G47" s="82" t="str">
        <x:v>Normal / Fada</x:v>
      </x:c>
      <x:c r="H47" s="82" t="str">
        <x:v>Misto</x:v>
      </x:c>
      <x:c r="I47" s="142" t="n">
        <x:f>ROUND(100*(Metodologia!$B$17*(Q47/Metodologia!$B$22)+Metodologia!$B$18*(R47/Metodologia!$B$23)+Metodologia!$B$19*(S47/Metodologia!$B$24)+Metodologia!$B$20*(P47/Metodologia!$B$25)+Metodologia!$B$21*(J47/Metodologia!$B$26)),2)</x:f>
        <x:v>30.55</x:v>
      </x:c>
      <x:c r="J47" s="82" t="n">
        <x:f>SUM(K47:P47)</x:f>
        <x:v>270</x:v>
      </x:c>
      <x:c r="K47" s="82" t="n">
        <x:v>115</x:v>
      </x:c>
      <x:c r="L47" s="82" t="n">
        <x:v>45</x:v>
      </x:c>
      <x:c r="M47" s="82" t="n">
        <x:v>20</x:v>
      </x:c>
      <x:c r="N47" s="82" t="n">
        <x:v>45</x:v>
      </x:c>
      <x:c r="O47" s="82" t="n">
        <x:v>25</x:v>
      </x:c>
      <x:c r="P47" s="82" t="n">
        <x:v>20</x:v>
      </x:c>
      <x:c r="Q47" s="143" t="n">
        <x:f>MAX(L47,N47)*Metodologia!$B$16</x:f>
        <x:v>58.5</x:v>
      </x:c>
      <x:c r="R47" s="143" t="n">
        <x:f>MIN(L47,N47)*Metodologia!$B$16</x:f>
        <x:v>58.5</x:v>
      </x:c>
      <x:c r="S47" s="143" t="n">
        <x:f>SQRT(K47*AVERAGE(M47,O47)*Metodologia!$B$16)</x:f>
        <x:v>57.99784478754361</x:v>
      </x:c>
      <x:c r="T47" s="82" t="str">
        <x:v>Sim</x:v>
      </x:c>
      <x:c r="U47" s="82" t="str">
        <x:v>Rankeado</x:v>
      </x:c>
      <x:c r="V47" s="82" t="str">
        <x:v>Perfil misto; melhor atributo ofensivo 45, ofensiva secundária 45, robustez relativa 37% e Speed 20. O índice privilegia dano de hunt, sem ignorar sobrevivência.</x:v>
      </x:c>
      <x:c r="W47" s="82" t="str">
        <x:v>Fica atrás de Pidgey principalmente por velocidade 64.3% menor.</x:v>
      </x:c>
      <x:c r="X47" s="82" t="str">
        <x:v>Fica à frente de Sentret porque possui robustez sustentada 36.8% maior e ofensiva secundária 28.6% maior.</x:v>
      </x:c>
      <x:c r="Y47" s="154" t="str">
        <x:v>https://poke.idleworld.online/pokepedia/pokemon/jigglypuff</x:v>
      </x:c>
    </x:row>
    <x:row r="48" ht="48" customHeight="1">
      <x:c r="A48" s="82" t="n">
        <x:f>IF(U48&lt;&gt;"Rankeado","",COUNTIFS($U$5:$U$52,"Rankeado",$I$5:$I$52,"&gt;"&amp;I48)+COUNTIFS($U$5:U48,"Rankeado",$I$5:I48,I48))</x:f>
        <x:v>44</x:v>
      </x:c>
      <x:c r="B48" s="82" t="n">
        <x:f>COUNTIF($I$5:$I$52,"&gt;"&amp;I48)+COUNTIF($I$5:I48,I48)</x:f>
        <x:v>44</x:v>
      </x:c>
      <x:c r="C48" s="82" t="str">
        <x:f>IF(I48&gt;=80,"S+",IF(I48&gt;=72,"S",IF(I48&gt;=65,"A",IF(I48&gt;=58,"B",IF(I48&gt;=50,"C",IF(I48&gt;=42,"D","E"))))))</x:f>
        <x:v>E</x:v>
      </x:c>
      <x:c r="D48" s="82" t="str">
        <x:f>IF(AND(U48="Rankeado",A48&lt;=6),"Sim","Não")</x:f>
        <x:v>Não</x:v>
      </x:c>
      <x:c r="E48" s="82" t="n">
        <x:v>161</x:v>
      </x:c>
      <x:c r="F48" s="80" t="str">
        <x:v>Sentret</x:v>
      </x:c>
      <x:c r="G48" s="82" t="str">
        <x:v>Normal</x:v>
      </x:c>
      <x:c r="H48" s="82" t="str">
        <x:v>Misto</x:v>
      </x:c>
      <x:c r="I48" s="142" t="n">
        <x:f>ROUND(100*(Metodologia!$B$17*(Q48/Metodologia!$B$22)+Metodologia!$B$18*(R48/Metodologia!$B$23)+Metodologia!$B$19*(S48/Metodologia!$B$24)+Metodologia!$B$20*(P48/Metodologia!$B$25)+Metodologia!$B$21*(J48/Metodologia!$B$26)),2)</x:f>
        <x:v>28.12</x:v>
      </x:c>
      <x:c r="J48" s="82" t="n">
        <x:f>SUM(K48:P48)</x:f>
        <x:v>215</x:v>
      </x:c>
      <x:c r="K48" s="82" t="n">
        <x:v>35</x:v>
      </x:c>
      <x:c r="L48" s="82" t="n">
        <x:v>46</x:v>
      </x:c>
      <x:c r="M48" s="82" t="n">
        <x:v>34</x:v>
      </x:c>
      <x:c r="N48" s="82" t="n">
        <x:v>35</x:v>
      </x:c>
      <x:c r="O48" s="82" t="n">
        <x:v>45</x:v>
      </x:c>
      <x:c r="P48" s="82" t="n">
        <x:v>20</x:v>
      </x:c>
      <x:c r="Q48" s="143" t="n">
        <x:f>MAX(L48,N48)*Metodologia!$B$16</x:f>
        <x:v>59.800000000000004</x:v>
      </x:c>
      <x:c r="R48" s="143" t="n">
        <x:f>MIN(L48,N48)*Metodologia!$B$16</x:f>
        <x:v>45.5</x:v>
      </x:c>
      <x:c r="S48" s="143" t="n">
        <x:f>SQRT(K48*AVERAGE(M48,O48)*Metodologia!$B$16)</x:f>
        <x:v>42.39398542246294</x:v>
      </x:c>
      <x:c r="T48" s="82" t="str">
        <x:v>Não</x:v>
      </x:c>
      <x:c r="U48" s="82" t="str">
        <x:v>Rankeado</x:v>
      </x:c>
      <x:c r="V48" s="82" t="str">
        <x:v>Perfil misto; melhor atributo ofensivo 46, ofensiva secundária 35, robustez relativa 27% e Speed 20. O índice privilegia dano de hunt, sem ignorar sobrevivência.</x:v>
      </x:c>
      <x:c r="W48" s="82" t="str">
        <x:v>Fica atrás de Jigglypuff principalmente por robustez sustentada 26.9% menor e ofensiva secundária 22.2% menor.</x:v>
      </x:c>
      <x:c r="X48" s="82" t="str">
        <x:v>Fica à frente de Hoothoot porque possui teto ofensivo 27.8% maior e ofensiva secundária 16.7% maior.</x:v>
      </x:c>
      <x:c r="Y48" s="154" t="str">
        <x:v>https://poke.idleworld.online/pokepedia/pokemon/sentret</x:v>
      </x:c>
    </x:row>
    <x:row r="49" ht="48" customHeight="1">
      <x:c r="A49" s="82" t="n">
        <x:f>IF(U49&lt;&gt;"Rankeado","",COUNTIFS($U$5:$U$52,"Rankeado",$I$5:$I$52,"&gt;"&amp;I49)+COUNTIFS($U$5:U49,"Rankeado",$I$5:I49,I49))</x:f>
        <x:v>45</x:v>
      </x:c>
      <x:c r="B49" s="82" t="n">
        <x:f>COUNTIF($I$5:$I$52,"&gt;"&amp;I49)+COUNTIF($I$5:I49,I49)</x:f>
        <x:v>45</x:v>
      </x:c>
      <x:c r="C49" s="82" t="str">
        <x:f>IF(I49&gt;=80,"S+",IF(I49&gt;=72,"S",IF(I49&gt;=65,"A",IF(I49&gt;=58,"B",IF(I49&gt;=50,"C",IF(I49&gt;=42,"D","E"))))))</x:f>
        <x:v>E</x:v>
      </x:c>
      <x:c r="D49" s="82" t="str">
        <x:f>IF(AND(U49="Rankeado",A49&lt;=6),"Sim","Não")</x:f>
        <x:v>Não</x:v>
      </x:c>
      <x:c r="E49" s="82" t="n">
        <x:v>163</x:v>
      </x:c>
      <x:c r="F49" s="80" t="str">
        <x:v>Hoothoot</x:v>
      </x:c>
      <x:c r="G49" s="82" t="str">
        <x:v>Normal / Voador</x:v>
      </x:c>
      <x:c r="H49" s="82" t="str">
        <x:v>Misto</x:v>
      </x:c>
      <x:c r="I49" s="142" t="n">
        <x:f>ROUND(100*(Metodologia!$B$17*(Q49/Metodologia!$B$22)+Metodologia!$B$18*(R49/Metodologia!$B$23)+Metodologia!$B$19*(S49/Metodologia!$B$24)+Metodologia!$B$20*(P49/Metodologia!$B$25)+Metodologia!$B$21*(J49/Metodologia!$B$26)),2)</x:f>
        <x:v>27.62</x:v>
      </x:c>
      <x:c r="J49" s="82" t="n">
        <x:f>SUM(K49:P49)</x:f>
        <x:v>262</x:v>
      </x:c>
      <x:c r="K49" s="82" t="n">
        <x:v>60</x:v>
      </x:c>
      <x:c r="L49" s="82" t="n">
        <x:v>30</x:v>
      </x:c>
      <x:c r="M49" s="82" t="n">
        <x:v>30</x:v>
      </x:c>
      <x:c r="N49" s="82" t="n">
        <x:v>36</x:v>
      </x:c>
      <x:c r="O49" s="82" t="n">
        <x:v>56</x:v>
      </x:c>
      <x:c r="P49" s="82" t="n">
        <x:v>50</x:v>
      </x:c>
      <x:c r="Q49" s="143" t="n">
        <x:f>MAX(L49,N49)*Metodologia!$B$16</x:f>
        <x:v>46.800000000000004</x:v>
      </x:c>
      <x:c r="R49" s="143" t="n">
        <x:f>MIN(L49,N49)*Metodologia!$B$16</x:f>
        <x:v>39</x:v>
      </x:c>
      <x:c r="S49" s="143" t="n">
        <x:f>SQRT(K49*AVERAGE(M49,O49)*Metodologia!$B$16)</x:f>
        <x:v>57.91372894228103</x:v>
      </x:c>
      <x:c r="T49" s="82" t="str">
        <x:v>Não</x:v>
      </x:c>
      <x:c r="U49" s="82" t="str">
        <x:v>Rankeado</x:v>
      </x:c>
      <x:c r="V49" s="82" t="str">
        <x:v>Perfil misto; melhor atributo ofensivo 36, ofensiva secundária 30, robustez relativa 37% e Speed 50. O índice privilegia dano de hunt, sem ignorar sobrevivência.</x:v>
      </x:c>
      <x:c r="W49" s="82" t="str">
        <x:v>Fica atrás de Sentret principalmente por teto ofensivo 21.7% menor e ofensiva secundária 14.3% menor.</x:v>
      </x:c>
      <x:c r="X49" s="82" t="str">
        <x:v>Fica à frente de Igglybuff porque possui velocidade 233.3% maior e robustez sustentada 28.0% maior.</x:v>
      </x:c>
      <x:c r="Y49" s="154" t="str">
        <x:v>https://poke.idleworld.online/pokepedia/pokemon/hoothoot</x:v>
      </x:c>
    </x:row>
    <x:row r="50" ht="48" customHeight="1">
      <x:c r="A50" s="82" t="n">
        <x:f>IF(U50&lt;&gt;"Rankeado","",COUNTIFS($U$5:$U$52,"Rankeado",$I$5:$I$52,"&gt;"&amp;I50)+COUNTIFS($U$5:U50,"Rankeado",$I$5:I50,I50))</x:f>
        <x:v>46</x:v>
      </x:c>
      <x:c r="B50" s="82" t="n">
        <x:f>COUNTIF($I$5:$I$52,"&gt;"&amp;I50)+COUNTIF($I$5:I50,I50)</x:f>
        <x:v>46</x:v>
      </x:c>
      <x:c r="C50" s="82" t="str">
        <x:f>IF(I50&gt;=80,"S+",IF(I50&gt;=72,"S",IF(I50&gt;=65,"A",IF(I50&gt;=58,"B",IF(I50&gt;=50,"C",IF(I50&gt;=42,"D","E"))))))</x:f>
        <x:v>E</x:v>
      </x:c>
      <x:c r="D50" s="82" t="str">
        <x:f>IF(AND(U50="Rankeado",A50&lt;=6),"Sim","Não")</x:f>
        <x:v>Não</x:v>
      </x:c>
      <x:c r="E50" s="82" t="n">
        <x:v>174</x:v>
      </x:c>
      <x:c r="F50" s="80" t="str">
        <x:v>Igglybuff</x:v>
      </x:c>
      <x:c r="G50" s="82" t="str">
        <x:v>Normal / Fada</x:v>
      </x:c>
      <x:c r="H50" s="82" t="str">
        <x:v>Misto</x:v>
      </x:c>
      <x:c r="I50" s="142" t="n">
        <x:f>ROUND(100*(Metodologia!$B$17*(Q50/Metodologia!$B$22)+Metodologia!$B$18*(R50/Metodologia!$B$23)+Metodologia!$B$19*(S50/Metodologia!$B$24)+Metodologia!$B$20*(P50/Metodologia!$B$25)+Metodologia!$B$21*(J50/Metodologia!$B$26)),2)</x:f>
        <x:v>25.23</x:v>
      </x:c>
      <x:c r="J50" s="82" t="n">
        <x:f>SUM(K50:P50)</x:f>
        <x:v>210</x:v>
      </x:c>
      <x:c r="K50" s="82" t="n">
        <x:v>90</x:v>
      </x:c>
      <x:c r="L50" s="82" t="n">
        <x:v>30</x:v>
      </x:c>
      <x:c r="M50" s="82" t="n">
        <x:v>15</x:v>
      </x:c>
      <x:c r="N50" s="82" t="n">
        <x:v>40</x:v>
      </x:c>
      <x:c r="O50" s="82" t="n">
        <x:v>20</x:v>
      </x:c>
      <x:c r="P50" s="82" t="n">
        <x:v>15</x:v>
      </x:c>
      <x:c r="Q50" s="143" t="n">
        <x:f>MAX(L50,N50)*Metodologia!$B$16</x:f>
        <x:v>52</x:v>
      </x:c>
      <x:c r="R50" s="143" t="n">
        <x:f>MIN(L50,N50)*Metodologia!$B$16</x:f>
        <x:v>39</x:v>
      </x:c>
      <x:c r="S50" s="143" t="n">
        <x:f>SQRT(K50*AVERAGE(M50,O50)*Metodologia!$B$16)</x:f>
        <x:v>45.249309386995066</x:v>
      </x:c>
      <x:c r="T50" s="82" t="str">
        <x:v>Sim</x:v>
      </x:c>
      <x:c r="U50" s="82" t="str">
        <x:v>Rankeado</x:v>
      </x:c>
      <x:c r="V50" s="82" t="str">
        <x:v>Perfil misto; melhor atributo ofensivo 40, ofensiva secundária 30, robustez relativa 29% e Speed 15. O índice privilegia dano de hunt, sem ignorar sobrevivência.</x:v>
      </x:c>
      <x:c r="W50" s="82" t="str">
        <x:v>Fica atrás de Hoothoot principalmente por velocidade 70.0% menor e robustez sustentada 21.9% menor.</x:v>
      </x:c>
      <x:c r="X50" s="82" t="str">
        <x:v>Fica à frente de Tyrogue porque possui teto ofensivo 14.3% maior e robustez sustentada 13.4% maior.</x:v>
      </x:c>
      <x:c r="Y50" s="154" t="str">
        <x:v>https://poke.idleworld.online/pokepedia/pokemon/igglybuff</x:v>
      </x:c>
    </x:row>
    <x:row r="51" ht="48" customHeight="1">
      <x:c r="A51" s="82" t="n">
        <x:f>IF(U51&lt;&gt;"Rankeado","",COUNTIFS($U$5:$U$52,"Rankeado",$I$5:$I$52,"&gt;"&amp;I51)+COUNTIFS($U$5:U51,"Rankeado",$I$5:I51,I51))</x:f>
        <x:v>47</x:v>
      </x:c>
      <x:c r="B51" s="82" t="n">
        <x:f>COUNTIF($I$5:$I$52,"&gt;"&amp;I51)+COUNTIF($I$5:I51,I51)</x:f>
        <x:v>47</x:v>
      </x:c>
      <x:c r="C51" s="82" t="str">
        <x:f>IF(I51&gt;=80,"S+",IF(I51&gt;=72,"S",IF(I51&gt;=65,"A",IF(I51&gt;=58,"B",IF(I51&gt;=50,"C",IF(I51&gt;=42,"D","E"))))))</x:f>
        <x:v>E</x:v>
      </x:c>
      <x:c r="D51" s="82" t="str">
        <x:f>IF(AND(U51="Rankeado",A51&lt;=6),"Sim","Não")</x:f>
        <x:v>Não</x:v>
      </x:c>
      <x:c r="E51" s="82" t="n">
        <x:v>236</x:v>
      </x:c>
      <x:c r="F51" s="80" t="str">
        <x:v>Tyrogue</x:v>
      </x:c>
      <x:c r="G51" s="82" t="str">
        <x:v>Lutador</x:v>
      </x:c>
      <x:c r="H51" s="82" t="str">
        <x:v>Misto</x:v>
      </x:c>
      <x:c r="I51" s="142" t="n">
        <x:f>ROUND(100*(Metodologia!$B$17*(Q51/Metodologia!$B$22)+Metodologia!$B$18*(R51/Metodologia!$B$23)+Metodologia!$B$19*(S51/Metodologia!$B$24)+Metodologia!$B$20*(P51/Metodologia!$B$25)+Metodologia!$B$21*(J51/Metodologia!$B$26)),2)</x:f>
        <x:v>24.56</x:v>
      </x:c>
      <x:c r="J51" s="82" t="n">
        <x:f>SUM(K51:P51)</x:f>
        <x:v>210</x:v>
      </x:c>
      <x:c r="K51" s="82" t="n">
        <x:v>35</x:v>
      </x:c>
      <x:c r="L51" s="82" t="n">
        <x:v>35</x:v>
      </x:c>
      <x:c r="M51" s="82" t="n">
        <x:v>35</x:v>
      </x:c>
      <x:c r="N51" s="82" t="n">
        <x:v>35</x:v>
      </x:c>
      <x:c r="O51" s="82" t="n">
        <x:v>35</x:v>
      </x:c>
      <x:c r="P51" s="82" t="n">
        <x:v>35</x:v>
      </x:c>
      <x:c r="Q51" s="143" t="n">
        <x:f>MAX(L51,N51)*Metodologia!$B$16</x:f>
        <x:v>45.5</x:v>
      </x:c>
      <x:c r="R51" s="143" t="n">
        <x:f>MIN(L51,N51)*Metodologia!$B$16</x:f>
        <x:v>45.5</x:v>
      </x:c>
      <x:c r="S51" s="143" t="n">
        <x:f>SQRT(K51*AVERAGE(M51,O51)*Metodologia!$B$16)</x:f>
        <x:v>39.90613987846983</x:v>
      </x:c>
      <x:c r="T51" s="82" t="str">
        <x:v>Sim</x:v>
      </x:c>
      <x:c r="U51" s="82" t="str">
        <x:v>Rankeado</x:v>
      </x:c>
      <x:c r="V51" s="82" t="str">
        <x:v>Perfil misto; melhor atributo ofensivo 35, ofensiva secundária 35, robustez relativa 26% e Speed 35. O índice privilegia dano de hunt, sem ignorar sobrevivência.</x:v>
      </x:c>
      <x:c r="W51" s="82" t="str">
        <x:v>Fica atrás de Igglybuff principalmente por teto ofensivo 12.5% menor e robustez sustentada 11.8% menor.</x:v>
      </x:c>
      <x:c r="X51" s="82" t="str">
        <x:v>Fica à frente de Smeargle porque possui teto ofensivo 75.0% maior e ofensiva secundária 75.0% maior.</x:v>
      </x:c>
      <x:c r="Y51" s="154" t="str">
        <x:v>https://poke.idleworld.online/pokepedia/pokemon/tyrogue</x:v>
      </x:c>
    </x:row>
    <x:row r="52" ht="48" customHeight="1">
      <x:c r="A52" s="86" t="n">
        <x:f>IF(U52&lt;&gt;"Rankeado","",COUNTIFS($U$5:$U$52,"Rankeado",$I$5:$I$52,"&gt;"&amp;I52)+COUNTIFS($U$5:U52,"Rankeado",$I$5:I52,I52))</x:f>
        <x:v>48</x:v>
      </x:c>
      <x:c r="B52" s="86" t="n">
        <x:f>COUNTIF($I$5:$I$52,"&gt;"&amp;I52)+COUNTIF($I$5:I52,I52)</x:f>
        <x:v>48</x:v>
      </x:c>
      <x:c r="C52" s="86" t="str">
        <x:f>IF(I52&gt;=80,"S+",IF(I52&gt;=72,"S",IF(I52&gt;=65,"A",IF(I52&gt;=58,"B",IF(I52&gt;=50,"C",IF(I52&gt;=42,"D","E"))))))</x:f>
        <x:v>E</x:v>
      </x:c>
      <x:c r="D52" s="86" t="str">
        <x:f>IF(AND(U52="Rankeado",A52&lt;=6),"Sim","Não")</x:f>
        <x:v>Não</x:v>
      </x:c>
      <x:c r="E52" s="86" t="n">
        <x:v>235</x:v>
      </x:c>
      <x:c r="F52" s="84" t="str">
        <x:v>Smeargle</x:v>
      </x:c>
      <x:c r="G52" s="86" t="str">
        <x:v>Normal</x:v>
      </x:c>
      <x:c r="H52" s="86" t="str">
        <x:v>Misto</x:v>
      </x:c>
      <x:c r="I52" s="145" t="n">
        <x:f>ROUND(100*(Metodologia!$B$17*(Q52/Metodologia!$B$22)+Metodologia!$B$18*(R52/Metodologia!$B$23)+Metodologia!$B$19*(S52/Metodologia!$B$24)+Metodologia!$B$20*(P52/Metodologia!$B$25)+Metodologia!$B$21*(J52/Metodologia!$B$26)),2)</x:f>
        <x:v>21.62</x:v>
      </x:c>
      <x:c r="J52" s="86" t="n">
        <x:f>SUM(K52:P52)</x:f>
        <x:v>250</x:v>
      </x:c>
      <x:c r="K52" s="86" t="n">
        <x:v>55</x:v>
      </x:c>
      <x:c r="L52" s="86" t="n">
        <x:v>20</x:v>
      </x:c>
      <x:c r="M52" s="86" t="n">
        <x:v>35</x:v>
      </x:c>
      <x:c r="N52" s="86" t="n">
        <x:v>20</x:v>
      </x:c>
      <x:c r="O52" s="86" t="n">
        <x:v>45</x:v>
      </x:c>
      <x:c r="P52" s="86" t="n">
        <x:v>75</x:v>
      </x:c>
      <x:c r="Q52" s="146" t="n">
        <x:f>MAX(L52,N52)*Metodologia!$B$16</x:f>
        <x:v>26</x:v>
      </x:c>
      <x:c r="R52" s="146" t="n">
        <x:f>MIN(L52,N52)*Metodologia!$B$16</x:f>
        <x:v>26</x:v>
      </x:c>
      <x:c r="S52" s="146" t="n">
        <x:f>SQRT(K52*AVERAGE(M52,O52)*Metodologia!$B$16)</x:f>
        <x:v>53.47896782848375</x:v>
      </x:c>
      <x:c r="T52" s="86" t="str">
        <x:v>Não</x:v>
      </x:c>
      <x:c r="U52" s="86" t="str">
        <x:v>Rankeado</x:v>
      </x:c>
      <x:c r="V52" s="86" t="str">
        <x:v>Perfil misto; melhor atributo ofensivo 20, ofensiva secundária 20, robustez relativa 34% e Speed 75. O índice privilegia dano de hunt, sem ignorar sobrevivência.</x:v>
      </x:c>
      <x:c r="W52" s="86" t="str">
        <x:v>Fica atrás de Tyrogue principalmente por teto ofensivo 42.9% menor e ofensiva secundária 42.9% menor.</x:v>
      </x:c>
      <x:c r="X52" s="86" t="str">
        <x:v>É o último utilizável deste clã.</x:v>
      </x:c>
      <x:c r="Y52" s="155" t="str">
        <x:v>https://poke.idleworld.online/pokepedia/pokemon/smeargle</x:v>
      </x:c>
    </x:row>
  </x:sheetData>
  <x:mergeCells>
    <x:mergeCell ref="A1:Y1"/>
    <x:mergeCell ref="A2:Y2"/>
  </x:mergeCells>
  <x:conditionalFormatting sqref="I5:I52">
    <x:cfRule type="colorScale" priority="1">
      <x:colorScale>
        <x:cfvo type="min"/>
        <x:cfvo type="percentile" val="50"/>
        <x:cfvo type="max"/>
        <x:color rgb="FF6B1F1A"/>
        <x:color rgb="FFD98350"/>
        <x:color rgb="FF5F9D62"/>
      </x:colorScale>
    </x:cfRule>
  </x:conditionalFormatting>
  <x:conditionalFormatting sqref="A5:Y52">
    <x:cfRule type="expression" dxfId="8" priority="2">
      <x:formula>AND($D5="Sim",$U5="Rankeado")</x:formula>
    </x:cfRule>
    <x:cfRule type="expression" dxfId="9" priority="3">
      <x:formula>$U5="Excluído — lendário/mítico"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db829eb1c34e2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8" hidden="0" customWidth="1"/>
    <x:col min="4" max="4" width="10" hidden="0" customWidth="1"/>
    <x:col min="5" max="5" width="7" hidden="0" customWidth="1"/>
    <x:col min="6" max="6" width="20" hidden="0" customWidth="1"/>
    <x:col min="7" max="7" width="22" hidden="0" customWidth="1"/>
    <x:col min="8" max="8" width="12" hidden="0" customWidth="1"/>
    <x:col min="9" max="9" width="11" hidden="0" customWidth="1"/>
    <x:col min="10" max="10" width="9" hidden="0" customWidth="1"/>
    <x:col min="11" max="11" width="8" hidden="0" customWidth="1"/>
    <x:col min="12" max="12" width="8" hidden="0" customWidth="1"/>
    <x:col min="13" max="13" width="8" hidden="0" customWidth="1"/>
    <x:col min="14" max="14" width="10" hidden="0" customWidth="1"/>
    <x:col min="15" max="15" width="10" hidden="0" customWidth="1"/>
    <x:col min="16" max="16" width="9" hidden="0" customWidth="1"/>
    <x:col min="17" max="17" width="18" hidden="0" customWidth="1"/>
    <x:col min="18" max="18" width="21" hidden="0" customWidth="1"/>
    <x:col min="19" max="19" width="16" hidden="0" customWidth="1"/>
    <x:col min="20" max="20" width="13" hidden="0" customWidth="1"/>
    <x:col min="21" max="21" width="23" hidden="0" customWidth="1"/>
    <x:col min="22" max="22" width="48" hidden="0" customWidth="1"/>
    <x:col min="23" max="23" width="52" hidden="0" customWidth="1"/>
    <x:col min="24" max="24" width="52" hidden="0" customWidth="1"/>
    <x:col min="25" max="25" width="56" hidden="0" customWidth="1"/>
  </x:cols>
  <x:sheetData>
    <x:row r="1" ht="34" customHeight="1">
      <x:c r="A1" s="5" t="str">
        <x:v>Ironhard · ranking completo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 ht="24" customHeight="1">
      <x:c r="A2" s="12" t="str">
        <x:v>Aço · 6 utilizáveis · time recomendado: Scizor · Magneton · Forretress · Steelix · Skarmory · Magnemite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</x:row>
    <x:row r="4">
      <x:c r="A4" s="115" t="str">
        <x:v>Posição</x:v>
      </x:c>
      <x:c r="B4" s="115" t="str">
        <x:v>Rank teórico</x:v>
      </x:c>
      <x:c r="C4" s="115" t="str">
        <x:v>Tier</x:v>
      </x:c>
      <x:c r="D4" s="115" t="str">
        <x:v>Time 6</x:v>
      </x:c>
      <x:c r="E4" s="115" t="str">
        <x:v>#</x:v>
      </x:c>
      <x:c r="F4" s="115" t="str">
        <x:v>Pokémon</x:v>
      </x:c>
      <x:c r="G4" s="115" t="str">
        <x:v>Tipos</x:v>
      </x:c>
      <x:c r="H4" s="115" t="str">
        <x:v>Perfil</x:v>
      </x:c>
      <x:c r="I4" s="115" t="str">
        <x:v>Score</x:v>
      </x:c>
      <x:c r="J4" s="115" t="str">
        <x:v>BST</x:v>
      </x:c>
      <x:c r="K4" s="115" t="str">
        <x:v>HP</x:v>
      </x:c>
      <x:c r="L4" s="115" t="str">
        <x:v>ATK</x:v>
      </x:c>
      <x:c r="M4" s="115" t="str">
        <x:v>DEF</x:v>
      </x:c>
      <x:c r="N4" s="115" t="str">
        <x:v>Sp. ATK</x:v>
      </x:c>
      <x:c r="O4" s="115" t="str">
        <x:v>Sp. DEF</x:v>
      </x:c>
      <x:c r="P4" s="115" t="str">
        <x:v>Speed</x:v>
      </x:c>
      <x:c r="Q4" s="115" t="str">
        <x:v>Teto ofensivo R5</x:v>
      </x:c>
      <x:c r="R4" s="115" t="str">
        <x:v>Ofensiva secundária R5</x:v>
      </x:c>
      <x:c r="S4" s="115" t="str">
        <x:v>Robustez R5</x:v>
      </x:c>
      <x:c r="T4" s="115" t="str">
        <x:v>Hunt Kanto</x:v>
      </x:c>
      <x:c r="U4" s="115" t="str">
        <x:v>Status</x:v>
      </x:c>
      <x:c r="V4" s="115" t="str">
        <x:v>Leitura técnica</x:v>
      </x:c>
      <x:c r="W4" s="115" t="str">
        <x:v>Por que abaixo do anterior</x:v>
      </x:c>
      <x:c r="X4" s="115" t="str">
        <x:v>Por que acima do seguinte</x:v>
      </x:c>
      <x:c r="Y4" s="115" t="str">
        <x:v>Fonte</x:v>
      </x:c>
    </x:row>
    <x:row r="5" ht="48" customHeight="1">
      <x:c r="A5" s="82" t="n">
        <x:f>IF(U5&lt;&gt;"Rankeado","",COUNTIFS($U$5:$U$10,"Rankeado",$I$5:$I$10,"&gt;"&amp;I5)+COUNTIFS($U$5:U5,"Rankeado",$I$5:I5,I5))</x:f>
        <x:v>1</x:v>
      </x:c>
      <x:c r="B5" s="82" t="n">
        <x:f>COUNTIF($I$5:$I$10,"&gt;"&amp;I5)+COUNTIF($I$5:I5,I5)</x:f>
        <x:v>1</x:v>
      </x:c>
      <x:c r="C5" s="82" t="str">
        <x:f>IF(I5&gt;=80,"S+",IF(I5&gt;=72,"S",IF(I5&gt;=65,"A",IF(I5&gt;=58,"B",IF(I5&gt;=50,"C",IF(I5&gt;=42,"D","E"))))))</x:f>
        <x:v>S</x:v>
      </x:c>
      <x:c r="D5" s="82" t="str">
        <x:f>IF(AND(U5="Rankeado",A5&lt;=6),"Sim","Não")</x:f>
        <x:v>Sim</x:v>
      </x:c>
      <x:c r="E5" s="82" t="n">
        <x:v>212</x:v>
      </x:c>
      <x:c r="F5" s="80" t="str">
        <x:v>Scizor</x:v>
      </x:c>
      <x:c r="G5" s="82" t="str">
        <x:v>Inseto / Aço</x:v>
      </x:c>
      <x:c r="H5" s="82" t="str">
        <x:v>Físico</x:v>
      </x:c>
      <x:c r="I5" s="142" t="n">
        <x:f>ROUND(100*(Metodologia!$B$17*(Q5/Metodologia!$B$22)+Metodologia!$B$18*(R5/Metodologia!$B$23)+Metodologia!$B$19*(S5/Metodologia!$B$24)+Metodologia!$B$20*(P5/Metodologia!$B$25)+Metodologia!$B$21*(J5/Metodologia!$B$26)),2)</x:f>
        <x:v>72.42</x:v>
      </x:c>
      <x:c r="J5" s="82" t="n">
        <x:f>SUM(K5:P5)</x:f>
        <x:v>500</x:v>
      </x:c>
      <x:c r="K5" s="82" t="n">
        <x:v>70</x:v>
      </x:c>
      <x:c r="L5" s="82" t="n">
        <x:v>130</x:v>
      </x:c>
      <x:c r="M5" s="82" t="n">
        <x:v>100</x:v>
      </x:c>
      <x:c r="N5" s="82" t="n">
        <x:v>55</x:v>
      </x:c>
      <x:c r="O5" s="82" t="n">
        <x:v>80</x:v>
      </x:c>
      <x:c r="P5" s="82" t="n">
        <x:v>65</x:v>
      </x:c>
      <x:c r="Q5" s="143" t="n">
        <x:f>MAX(L5,N5)*Metodologia!$B$16</x:f>
        <x:v>169</x:v>
      </x:c>
      <x:c r="R5" s="143" t="n">
        <x:f>MIN(L5,N5)*Metodologia!$B$16</x:f>
        <x:v>71.5</x:v>
      </x:c>
      <x:c r="S5" s="143" t="n">
        <x:f>SQRT(K5*AVERAGE(M5,O5)*Metodologia!$B$16)</x:f>
        <x:v>90.49861877399013</x:v>
      </x:c>
      <x:c r="T5" s="82" t="str">
        <x:v>Sim</x:v>
      </x:c>
      <x:c r="U5" s="82" t="str">
        <x:v>Rankeado</x:v>
      </x:c>
      <x:c r="V5" s="82" t="str">
        <x:v>Perfil físico; melhor atributo ofensivo 130, ofensiva secundária 55, robustez relativa 58% e Speed 65. O índice privilegia dano de hunt, sem ignorar sobrevivência.</x:v>
      </x:c>
      <x:c r="W5" s="82" t="str">
        <x:v>É o líder do clã no modelo.</x:v>
      </x:c>
      <x:c r="X5" s="82" t="str">
        <x:v>Fica à frente de Magneton porque possui teto ofensivo 8.3% maior e robustez sustentada 23.6% maior.</x:v>
      </x:c>
      <x:c r="Y5" s="154" t="str">
        <x:v>https://poke.idleworld.online/pokepedia/pokemon/scizor</x:v>
      </x:c>
    </x:row>
    <x:row r="6" ht="48" customHeight="1">
      <x:c r="A6" s="82" t="n">
        <x:f>IF(U6&lt;&gt;"Rankeado","",COUNTIFS($U$5:$U$10,"Rankeado",$I$5:$I$10,"&gt;"&amp;I6)+COUNTIFS($U$5:U6,"Rankeado",$I$5:I6,I6))</x:f>
        <x:v>2</x:v>
      </x:c>
      <x:c r="B6" s="82" t="n">
        <x:f>COUNTIF($I$5:$I$10,"&gt;"&amp;I6)+COUNTIF($I$5:I6,I6)</x:f>
        <x:v>2</x:v>
      </x:c>
      <x:c r="C6" s="82" t="str">
        <x:f>IF(I6&gt;=80,"S+",IF(I6&gt;=72,"S",IF(I6&gt;=65,"A",IF(I6&gt;=58,"B",IF(I6&gt;=50,"C",IF(I6&gt;=42,"D","E"))))))</x:f>
        <x:v>A</x:v>
      </x:c>
      <x:c r="D6" s="82" t="str">
        <x:f>IF(AND(U6="Rankeado",A6&lt;=6),"Sim","Não")</x:f>
        <x:v>Sim</x:v>
      </x:c>
      <x:c r="E6" s="82" t="n">
        <x:v>82</x:v>
      </x:c>
      <x:c r="F6" s="80" t="str">
        <x:v>Magneton</x:v>
      </x:c>
      <x:c r="G6" s="82" t="str">
        <x:v>Elétrico / Aço</x:v>
      </x:c>
      <x:c r="H6" s="82" t="str">
        <x:v>Especial</x:v>
      </x:c>
      <x:c r="I6" s="142" t="n">
        <x:f>ROUND(100*(Metodologia!$B$17*(Q6/Metodologia!$B$22)+Metodologia!$B$18*(R6/Metodologia!$B$23)+Metodologia!$B$19*(S6/Metodologia!$B$24)+Metodologia!$B$20*(P6/Metodologia!$B$25)+Metodologia!$B$21*(J6/Metodologia!$B$26)),2)</x:f>
        <x:v>67.38</x:v>
      </x:c>
      <x:c r="J6" s="82" t="n">
        <x:f>SUM(K6:P6)</x:f>
        <x:v>465</x:v>
      </x:c>
      <x:c r="K6" s="82" t="n">
        <x:v>50</x:v>
      </x:c>
      <x:c r="L6" s="82" t="n">
        <x:v>60</x:v>
      </x:c>
      <x:c r="M6" s="82" t="n">
        <x:v>95</x:v>
      </x:c>
      <x:c r="N6" s="82" t="n">
        <x:v>120</x:v>
      </x:c>
      <x:c r="O6" s="82" t="n">
        <x:v>70</x:v>
      </x:c>
      <x:c r="P6" s="82" t="n">
        <x:v>70</x:v>
      </x:c>
      <x:c r="Q6" s="143" t="n">
        <x:f>MAX(L6,N6)*Metodologia!$B$16</x:f>
        <x:v>156</x:v>
      </x:c>
      <x:c r="R6" s="143" t="n">
        <x:f>MIN(L6,N6)*Metodologia!$B$16</x:f>
        <x:v>78</x:v>
      </x:c>
      <x:c r="S6" s="143" t="n">
        <x:f>SQRT(K6*AVERAGE(M6,O6)*Metodologia!$B$16)</x:f>
        <x:v>73.22909257938404</x:v>
      </x:c>
      <x:c r="T6" s="82" t="str">
        <x:v>Sim</x:v>
      </x:c>
      <x:c r="U6" s="82" t="str">
        <x:v>Rankeado</x:v>
      </x:c>
      <x:c r="V6" s="82" t="str">
        <x:v>Perfil especial; melhor atributo ofensivo 120, ofensiva secundária 60, robustez relativa 47% e Speed 70. O índice privilegia dano de hunt, sem ignorar sobrevivência.</x:v>
      </x:c>
      <x:c r="W6" s="82" t="str">
        <x:v>Fica atrás de Scizor principalmente por teto ofensivo 7.7% menor e robustez sustentada 19.1% menor.</x:v>
      </x:c>
      <x:c r="X6" s="82" t="str">
        <x:v>Fica à frente de Forretress porque possui teto ofensivo 33.3% maior e velocidade 75.0% maior.</x:v>
      </x:c>
      <x:c r="Y6" s="154" t="str">
        <x:v>https://poke.idleworld.online/pokepedia/pokemon/magneton</x:v>
      </x:c>
    </x:row>
    <x:row r="7" ht="48" customHeight="1">
      <x:c r="A7" s="82" t="n">
        <x:f>IF(U7&lt;&gt;"Rankeado","",COUNTIFS($U$5:$U$10,"Rankeado",$I$5:$I$10,"&gt;"&amp;I7)+COUNTIFS($U$5:U7,"Rankeado",$I$5:I7,I7))</x:f>
        <x:v>3</x:v>
      </x:c>
      <x:c r="B7" s="82" t="n">
        <x:f>COUNTIF($I$5:$I$10,"&gt;"&amp;I7)+COUNTIF($I$5:I7,I7)</x:f>
        <x:v>3</x:v>
      </x:c>
      <x:c r="C7" s="82" t="str">
        <x:f>IF(I7&gt;=80,"S+",IF(I7&gt;=72,"S",IF(I7&gt;=65,"A",IF(I7&gt;=58,"B",IF(I7&gt;=50,"C",IF(I7&gt;=42,"D","E"))))))</x:f>
        <x:v>C</x:v>
      </x:c>
      <x:c r="D7" s="82" t="str">
        <x:f>IF(AND(U7="Rankeado",A7&lt;=6),"Sim","Não")</x:f>
        <x:v>Sim</x:v>
      </x:c>
      <x:c r="E7" s="82" t="n">
        <x:v>205</x:v>
      </x:c>
      <x:c r="F7" s="80" t="str">
        <x:v>Forretress</x:v>
      </x:c>
      <x:c r="G7" s="82" t="str">
        <x:v>Inseto / Aço</x:v>
      </x:c>
      <x:c r="H7" s="82" t="str">
        <x:v>Físico</x:v>
      </x:c>
      <x:c r="I7" s="142" t="n">
        <x:f>ROUND(100*(Metodologia!$B$17*(Q7/Metodologia!$B$22)+Metodologia!$B$18*(R7/Metodologia!$B$23)+Metodologia!$B$19*(S7/Metodologia!$B$24)+Metodologia!$B$20*(P7/Metodologia!$B$25)+Metodologia!$B$21*(J7/Metodologia!$B$26)),2)</x:f>
        <x:v>56.16</x:v>
      </x:c>
      <x:c r="J7" s="82" t="n">
        <x:f>SUM(K7:P7)</x:f>
        <x:v>465</x:v>
      </x:c>
      <x:c r="K7" s="82" t="n">
        <x:v>75</x:v>
      </x:c>
      <x:c r="L7" s="82" t="n">
        <x:v>90</x:v>
      </x:c>
      <x:c r="M7" s="82" t="n">
        <x:v>140</x:v>
      </x:c>
      <x:c r="N7" s="82" t="n">
        <x:v>60</x:v>
      </x:c>
      <x:c r="O7" s="82" t="n">
        <x:v>60</x:v>
      </x:c>
      <x:c r="P7" s="82" t="n">
        <x:v>40</x:v>
      </x:c>
      <x:c r="Q7" s="143" t="n">
        <x:f>MAX(L7,N7)*Metodologia!$B$16</x:f>
        <x:v>117</x:v>
      </x:c>
      <x:c r="R7" s="143" t="n">
        <x:f>MIN(L7,N7)*Metodologia!$B$16</x:f>
        <x:v>78</x:v>
      </x:c>
      <x:c r="S7" s="143" t="n">
        <x:f>SQRT(K7*AVERAGE(M7,O7)*Metodologia!$B$16)</x:f>
        <x:v>98.74208829065749</x:v>
      </x:c>
      <x:c r="T7" s="82" t="str">
        <x:v>Sim</x:v>
      </x:c>
      <x:c r="U7" s="82" t="str">
        <x:v>Rankeado</x:v>
      </x:c>
      <x:c r="V7" s="82" t="str">
        <x:v>Perfil físico; melhor atributo ofensivo 90, ofensiva secundária 60, robustez relativa 64% e Speed 40. O índice privilegia dano de hunt, sem ignorar sobrevivência.</x:v>
      </x:c>
      <x:c r="W7" s="82" t="str">
        <x:v>Fica atrás de Magneton principalmente por teto ofensivo 25.0% menor e velocidade 42.9% menor.</x:v>
      </x:c>
      <x:c r="X7" s="82" t="str">
        <x:v>Fica à frente de Steelix porque possui teto ofensivo 5.9% maior e velocidade 33.3% maior.</x:v>
      </x:c>
      <x:c r="Y7" s="154" t="str">
        <x:v>https://poke.idleworld.online/pokepedia/pokemon/forretress</x:v>
      </x:c>
    </x:row>
    <x:row r="8" ht="48" customHeight="1">
      <x:c r="A8" s="82" t="n">
        <x:f>IF(U8&lt;&gt;"Rankeado","",COUNTIFS($U$5:$U$10,"Rankeado",$I$5:$I$10,"&gt;"&amp;I8)+COUNTIFS($U$5:U8,"Rankeado",$I$5:I8,I8))</x:f>
        <x:v>4</x:v>
      </x:c>
      <x:c r="B8" s="82" t="n">
        <x:f>COUNTIF($I$5:$I$10,"&gt;"&amp;I8)+COUNTIF($I$5:I8,I8)</x:f>
        <x:v>4</x:v>
      </x:c>
      <x:c r="C8" s="82" t="str">
        <x:f>IF(I8&gt;=80,"S+",IF(I8&gt;=72,"S",IF(I8&gt;=65,"A",IF(I8&gt;=58,"B",IF(I8&gt;=50,"C",IF(I8&gt;=42,"D","E"))))))</x:f>
        <x:v>C</x:v>
      </x:c>
      <x:c r="D8" s="82" t="str">
        <x:f>IF(AND(U8="Rankeado",A8&lt;=6),"Sim","Não")</x:f>
        <x:v>Sim</x:v>
      </x:c>
      <x:c r="E8" s="82" t="n">
        <x:v>208</x:v>
      </x:c>
      <x:c r="F8" s="80" t="str">
        <x:v>Steelix</x:v>
      </x:c>
      <x:c r="G8" s="82" t="str">
        <x:v>Aço / Terra</x:v>
      </x:c>
      <x:c r="H8" s="82" t="str">
        <x:v>Físico</x:v>
      </x:c>
      <x:c r="I8" s="142" t="n">
        <x:f>ROUND(100*(Metodologia!$B$17*(Q8/Metodologia!$B$22)+Metodologia!$B$18*(R8/Metodologia!$B$23)+Metodologia!$B$19*(S8/Metodologia!$B$24)+Metodologia!$B$20*(P8/Metodologia!$B$25)+Metodologia!$B$21*(J8/Metodologia!$B$26)),2)</x:f>
        <x:v>54.86</x:v>
      </x:c>
      <x:c r="J8" s="82" t="n">
        <x:f>SUM(K8:P8)</x:f>
        <x:v>510</x:v>
      </x:c>
      <x:c r="K8" s="82" t="n">
        <x:v>75</x:v>
      </x:c>
      <x:c r="L8" s="82" t="n">
        <x:v>85</x:v>
      </x:c>
      <x:c r="M8" s="82" t="n">
        <x:v>200</x:v>
      </x:c>
      <x:c r="N8" s="82" t="n">
        <x:v>55</x:v>
      </x:c>
      <x:c r="O8" s="82" t="n">
        <x:v>65</x:v>
      </x:c>
      <x:c r="P8" s="82" t="n">
        <x:v>30</x:v>
      </x:c>
      <x:c r="Q8" s="143" t="n">
        <x:f>MAX(L8,N8)*Metodologia!$B$16</x:f>
        <x:v>110.5</x:v>
      </x:c>
      <x:c r="R8" s="143" t="n">
        <x:f>MIN(L8,N8)*Metodologia!$B$16</x:f>
        <x:v>71.5</x:v>
      </x:c>
      <x:c r="S8" s="143" t="n">
        <x:f>SQRT(K8*AVERAGE(M8,O8)*Metodologia!$B$16)</x:f>
        <x:v>113.66067921669305</x:v>
      </x:c>
      <x:c r="T8" s="82" t="str">
        <x:v>Sim</x:v>
      </x:c>
      <x:c r="U8" s="82" t="str">
        <x:v>Rankeado</x:v>
      </x:c>
      <x:c r="V8" s="82" t="str">
        <x:v>Perfil físico; melhor atributo ofensivo 85, ofensiva secundária 55, robustez relativa 73% e Speed 30. O índice privilegia dano de hunt, sem ignorar sobrevivência.</x:v>
      </x:c>
      <x:c r="W8" s="82" t="str">
        <x:v>Fica atrás de Forretress principalmente por teto ofensivo 5.6% menor e velocidade 25.0% menor.</x:v>
      </x:c>
      <x:c r="X8" s="82" t="str">
        <x:v>Fica à frente de Skarmory porque possui teto ofensivo 6.2% maior e robustez sustentada 20.7% maior.</x:v>
      </x:c>
      <x:c r="Y8" s="154" t="str">
        <x:v>https://poke.idleworld.online/pokepedia/pokemon/steelix</x:v>
      </x:c>
    </x:row>
    <x:row r="9" ht="48" customHeight="1">
      <x:c r="A9" s="82" t="n">
        <x:f>IF(U9&lt;&gt;"Rankeado","",COUNTIFS($U$5:$U$10,"Rankeado",$I$5:$I$10,"&gt;"&amp;I9)+COUNTIFS($U$5:U9,"Rankeado",$I$5:I9,I9))</x:f>
        <x:v>5</x:v>
      </x:c>
      <x:c r="B9" s="82" t="n">
        <x:f>COUNTIF($I$5:$I$10,"&gt;"&amp;I9)+COUNTIF($I$5:I9,I9)</x:f>
        <x:v>5</x:v>
      </x:c>
      <x:c r="C9" s="82" t="str">
        <x:f>IF(I9&gt;=80,"S+",IF(I9&gt;=72,"S",IF(I9&gt;=65,"A",IF(I9&gt;=58,"B",IF(I9&gt;=50,"C",IF(I9&gt;=42,"D","E"))))))</x:f>
        <x:v>C</x:v>
      </x:c>
      <x:c r="D9" s="82" t="str">
        <x:f>IF(AND(U9="Rankeado",A9&lt;=6),"Sim","Não")</x:f>
        <x:v>Sim</x:v>
      </x:c>
      <x:c r="E9" s="82" t="n">
        <x:v>227</x:v>
      </x:c>
      <x:c r="F9" s="80" t="str">
        <x:v>Skarmory</x:v>
      </x:c>
      <x:c r="G9" s="82" t="str">
        <x:v>Aço / Voador</x:v>
      </x:c>
      <x:c r="H9" s="82" t="str">
        <x:v>Físico</x:v>
      </x:c>
      <x:c r="I9" s="142" t="n">
        <x:f>ROUND(100*(Metodologia!$B$17*(Q9/Metodologia!$B$22)+Metodologia!$B$18*(R9/Metodologia!$B$23)+Metodologia!$B$19*(S9/Metodologia!$B$24)+Metodologia!$B$20*(P9/Metodologia!$B$25)+Metodologia!$B$21*(J9/Metodologia!$B$26)),2)</x:f>
        <x:v>52</x:v>
      </x:c>
      <x:c r="J9" s="82" t="n">
        <x:f>SUM(K9:P9)</x:f>
        <x:v>465</x:v>
      </x:c>
      <x:c r="K9" s="82" t="n">
        <x:v>65</x:v>
      </x:c>
      <x:c r="L9" s="82" t="n">
        <x:v>80</x:v>
      </x:c>
      <x:c r="M9" s="82" t="n">
        <x:v>140</x:v>
      </x:c>
      <x:c r="N9" s="82" t="n">
        <x:v>40</x:v>
      </x:c>
      <x:c r="O9" s="82" t="n">
        <x:v>70</x:v>
      </x:c>
      <x:c r="P9" s="82" t="n">
        <x:v>70</x:v>
      </x:c>
      <x:c r="Q9" s="143" t="n">
        <x:f>MAX(L9,N9)*Metodologia!$B$16</x:f>
        <x:v>104</x:v>
      </x:c>
      <x:c r="R9" s="143" t="n">
        <x:f>MIN(L9,N9)*Metodologia!$B$16</x:f>
        <x:v>52</x:v>
      </x:c>
      <x:c r="S9" s="143" t="n">
        <x:f>SQRT(K9*AVERAGE(M9,O9)*Metodologia!$B$16)</x:f>
        <x:v>94.19394885023135</x:v>
      </x:c>
      <x:c r="T9" s="82" t="str">
        <x:v>Sim</x:v>
      </x:c>
      <x:c r="U9" s="82" t="str">
        <x:v>Rankeado</x:v>
      </x:c>
      <x:c r="V9" s="82" t="str">
        <x:v>Perfil físico; melhor atributo ofensivo 80, ofensiva secundária 40, robustez relativa 61% e Speed 70. O índice privilegia dano de hunt, sem ignorar sobrevivência.</x:v>
      </x:c>
      <x:c r="W9" s="82" t="str">
        <x:v>Fica atrás de Steelix principalmente por teto ofensivo 5.9% menor e robustez sustentada 17.1% menor.</x:v>
      </x:c>
      <x:c r="X9" s="82" t="str">
        <x:v>Fica à frente de Magnemite porque possui robustez sustentada 109.0% maior e velocidade 55.6% maior.</x:v>
      </x:c>
      <x:c r="Y9" s="154" t="str">
        <x:v>https://poke.idleworld.online/pokepedia/pokemon/skarmory</x:v>
      </x:c>
    </x:row>
    <x:row r="10" ht="48" customHeight="1">
      <x:c r="A10" s="86" t="n">
        <x:f>IF(U10&lt;&gt;"Rankeado","",COUNTIFS($U$5:$U$10,"Rankeado",$I$5:$I$10,"&gt;"&amp;I10)+COUNTIFS($U$5:U10,"Rankeado",$I$5:I10,I10))</x:f>
        <x:v>6</x:v>
      </x:c>
      <x:c r="B10" s="86" t="n">
        <x:f>COUNTIF($I$5:$I$10,"&gt;"&amp;I10)+COUNTIF($I$5:I10,I10)</x:f>
        <x:v>6</x:v>
      </x:c>
      <x:c r="C10" s="86" t="str">
        <x:f>IF(I10&gt;=80,"S+",IF(I10&gt;=72,"S",IF(I10&gt;=65,"A",IF(I10&gt;=58,"B",IF(I10&gt;=50,"C",IF(I10&gt;=42,"D","E"))))))</x:f>
        <x:v>D</x:v>
      </x:c>
      <x:c r="D10" s="86" t="str">
        <x:f>IF(AND(U10="Rankeado",A10&lt;=6),"Sim","Não")</x:f>
        <x:v>Sim</x:v>
      </x:c>
      <x:c r="E10" s="86" t="n">
        <x:v>81</x:v>
      </x:c>
      <x:c r="F10" s="84" t="str">
        <x:v>Magnemite</x:v>
      </x:c>
      <x:c r="G10" s="86" t="str">
        <x:v>Elétrico / Aço</x:v>
      </x:c>
      <x:c r="H10" s="86" t="str">
        <x:v>Especial</x:v>
      </x:c>
      <x:c r="I10" s="145" t="n">
        <x:f>ROUND(100*(Metodologia!$B$17*(Q10/Metodologia!$B$22)+Metodologia!$B$18*(R10/Metodologia!$B$23)+Metodologia!$B$19*(S10/Metodologia!$B$24)+Metodologia!$B$20*(P10/Metodologia!$B$25)+Metodologia!$B$21*(J10/Metodologia!$B$26)),2)</x:f>
        <x:v>49.95</x:v>
      </x:c>
      <x:c r="J10" s="86" t="n">
        <x:f>SUM(K10:P10)</x:f>
        <x:v>325</x:v>
      </x:c>
      <x:c r="K10" s="86" t="n">
        <x:v>25</x:v>
      </x:c>
      <x:c r="L10" s="86" t="n">
        <x:v>35</x:v>
      </x:c>
      <x:c r="M10" s="86" t="n">
        <x:v>70</x:v>
      </x:c>
      <x:c r="N10" s="86" t="n">
        <x:v>95</x:v>
      </x:c>
      <x:c r="O10" s="86" t="n">
        <x:v>55</x:v>
      </x:c>
      <x:c r="P10" s="86" t="n">
        <x:v>45</x:v>
      </x:c>
      <x:c r="Q10" s="146" t="n">
        <x:f>MAX(L10,N10)*Metodologia!$B$16</x:f>
        <x:v>123.5</x:v>
      </x:c>
      <x:c r="R10" s="146" t="n">
        <x:f>MIN(L10,N10)*Metodologia!$B$16</x:f>
        <x:v>45.5</x:v>
      </x:c>
      <x:c r="S10" s="146" t="n">
        <x:f>SQRT(K10*AVERAGE(M10,O10)*Metodologia!$B$16)</x:f>
        <x:v>45.069390943299865</x:v>
      </x:c>
      <x:c r="T10" s="86" t="str">
        <x:v>Sim</x:v>
      </x:c>
      <x:c r="U10" s="86" t="str">
        <x:v>Rankeado</x:v>
      </x:c>
      <x:c r="V10" s="86" t="str">
        <x:v>Perfil especial; melhor atributo ofensivo 95, ofensiva secundária 35, robustez relativa 29% e Speed 45. O índice privilegia dano de hunt, sem ignorar sobrevivência.</x:v>
      </x:c>
      <x:c r="W10" s="86" t="str">
        <x:v>Fica atrás de Skarmory principalmente por robustez sustentada 52.2% menor e velocidade 35.7% menor.</x:v>
      </x:c>
      <x:c r="X10" s="86" t="str">
        <x:v>É o último utilizável deste clã.</x:v>
      </x:c>
      <x:c r="Y10" s="155" t="str">
        <x:v>https://poke.idleworld.online/pokepedia/pokemon/magnemite</x:v>
      </x:c>
    </x:row>
  </x:sheetData>
  <x:mergeCells>
    <x:mergeCell ref="A1:Y1"/>
    <x:mergeCell ref="A2:Y2"/>
  </x:mergeCells>
  <x:conditionalFormatting sqref="I5:I10">
    <x:cfRule type="colorScale" priority="1">
      <x:colorScale>
        <x:cfvo type="min"/>
        <x:cfvo type="percentile" val="50"/>
        <x:cfvo type="max"/>
        <x:color rgb="FF6B1F1A"/>
        <x:color rgb="FFD98350"/>
        <x:color rgb="FF5F9D62"/>
      </x:colorScale>
    </x:cfRule>
  </x:conditionalFormatting>
  <x:conditionalFormatting sqref="A5:Y10">
    <x:cfRule type="expression" dxfId="10" priority="2">
      <x:formula>AND($D5="Sim",$U5="Rankeado")</x:formula>
    </x:cfRule>
    <x:cfRule type="expression" dxfId="11" priority="3">
      <x:formula>$U5="Excluído — lendário/mítico"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2cfaa91483448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8" hidden="0" customWidth="1"/>
    <x:col min="4" max="4" width="10" hidden="0" customWidth="1"/>
    <x:col min="5" max="5" width="7" hidden="0" customWidth="1"/>
    <x:col min="6" max="6" width="20" hidden="0" customWidth="1"/>
    <x:col min="7" max="7" width="22" hidden="0" customWidth="1"/>
    <x:col min="8" max="8" width="12" hidden="0" customWidth="1"/>
    <x:col min="9" max="9" width="11" hidden="0" customWidth="1"/>
    <x:col min="10" max="10" width="9" hidden="0" customWidth="1"/>
    <x:col min="11" max="11" width="8" hidden="0" customWidth="1"/>
    <x:col min="12" max="12" width="8" hidden="0" customWidth="1"/>
    <x:col min="13" max="13" width="8" hidden="0" customWidth="1"/>
    <x:col min="14" max="14" width="10" hidden="0" customWidth="1"/>
    <x:col min="15" max="15" width="10" hidden="0" customWidth="1"/>
    <x:col min="16" max="16" width="9" hidden="0" customWidth="1"/>
    <x:col min="17" max="17" width="18" hidden="0" customWidth="1"/>
    <x:col min="18" max="18" width="21" hidden="0" customWidth="1"/>
    <x:col min="19" max="19" width="16" hidden="0" customWidth="1"/>
    <x:col min="20" max="20" width="13" hidden="0" customWidth="1"/>
    <x:col min="21" max="21" width="23" hidden="0" customWidth="1"/>
    <x:col min="22" max="22" width="48" hidden="0" customWidth="1"/>
    <x:col min="23" max="23" width="52" hidden="0" customWidth="1"/>
    <x:col min="24" max="24" width="52" hidden="0" customWidth="1"/>
    <x:col min="25" max="25" width="56" hidden="0" customWidth="1"/>
  </x:cols>
  <x:sheetData>
    <x:row r="1" ht="34" customHeight="1">
      <x:c r="A1" s="5" t="str">
        <x:v>Wingeon · ranking completo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 ht="24" customHeight="1">
      <x:c r="A2" s="12" t="str">
        <x:v>Voador / Dragão · 36 utilizáveis · time recomendado: Dragonite · Gyarados · Charizard · Aerodactyl · Scyther · Dodrio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</x:row>
    <x:row r="4">
      <x:c r="A4" s="115" t="str">
        <x:v>Posição</x:v>
      </x:c>
      <x:c r="B4" s="115" t="str">
        <x:v>Rank teórico</x:v>
      </x:c>
      <x:c r="C4" s="115" t="str">
        <x:v>Tier</x:v>
      </x:c>
      <x:c r="D4" s="115" t="str">
        <x:v>Time 6</x:v>
      </x:c>
      <x:c r="E4" s="115" t="str">
        <x:v>#</x:v>
      </x:c>
      <x:c r="F4" s="115" t="str">
        <x:v>Pokémon</x:v>
      </x:c>
      <x:c r="G4" s="115" t="str">
        <x:v>Tipos</x:v>
      </x:c>
      <x:c r="H4" s="115" t="str">
        <x:v>Perfil</x:v>
      </x:c>
      <x:c r="I4" s="115" t="str">
        <x:v>Score</x:v>
      </x:c>
      <x:c r="J4" s="115" t="str">
        <x:v>BST</x:v>
      </x:c>
      <x:c r="K4" s="115" t="str">
        <x:v>HP</x:v>
      </x:c>
      <x:c r="L4" s="115" t="str">
        <x:v>ATK</x:v>
      </x:c>
      <x:c r="M4" s="115" t="str">
        <x:v>DEF</x:v>
      </x:c>
      <x:c r="N4" s="115" t="str">
        <x:v>Sp. ATK</x:v>
      </x:c>
      <x:c r="O4" s="115" t="str">
        <x:v>Sp. DEF</x:v>
      </x:c>
      <x:c r="P4" s="115" t="str">
        <x:v>Speed</x:v>
      </x:c>
      <x:c r="Q4" s="115" t="str">
        <x:v>Teto ofensivo R5</x:v>
      </x:c>
      <x:c r="R4" s="115" t="str">
        <x:v>Ofensiva secundária R5</x:v>
      </x:c>
      <x:c r="S4" s="115" t="str">
        <x:v>Robustez R5</x:v>
      </x:c>
      <x:c r="T4" s="115" t="str">
        <x:v>Hunt Kanto</x:v>
      </x:c>
      <x:c r="U4" s="115" t="str">
        <x:v>Status</x:v>
      </x:c>
      <x:c r="V4" s="115" t="str">
        <x:v>Leitura técnica</x:v>
      </x:c>
      <x:c r="W4" s="115" t="str">
        <x:v>Por que abaixo do anterior</x:v>
      </x:c>
      <x:c r="X4" s="115" t="str">
        <x:v>Por que acima do seguinte</x:v>
      </x:c>
      <x:c r="Y4" s="115" t="str">
        <x:v>Fonte</x:v>
      </x:c>
    </x:row>
    <x:row r="5" ht="48" customHeight="1">
      <x:c r="A5" s="82" t="n">
        <x:f>IF(U5&lt;&gt;"Rankeado","",COUNTIFS($U$5:$U$45,"Rankeado",$I$5:$I$45,"&gt;"&amp;I5)+COUNTIFS($U$5:U5,"Rankeado",$I$5:I5,I5))</x:f>
        <x:v>1</x:v>
      </x:c>
      <x:c r="B5" s="82" t="n">
        <x:f>COUNTIF($I$5:$I$45,"&gt;"&amp;I5)+COUNTIF($I$5:I5,I5)</x:f>
        <x:v>2</x:v>
      </x:c>
      <x:c r="C5" s="82" t="str">
        <x:f>IF(I5&gt;=80,"S+",IF(I5&gt;=72,"S",IF(I5&gt;=65,"A",IF(I5&gt;=58,"B",IF(I5&gt;=50,"C",IF(I5&gt;=42,"D","E"))))))</x:f>
        <x:v>S+</x:v>
      </x:c>
      <x:c r="D5" s="82" t="str">
        <x:f>IF(AND(U5="Rankeado",A5&lt;=6),"Sim","Não")</x:f>
        <x:v>Sim</x:v>
      </x:c>
      <x:c r="E5" s="82" t="n">
        <x:v>149</x:v>
      </x:c>
      <x:c r="F5" s="80" t="str">
        <x:v>Dragonite</x:v>
      </x:c>
      <x:c r="G5" s="82" t="str">
        <x:v>Dragão / Voador</x:v>
      </x:c>
      <x:c r="H5" s="82" t="str">
        <x:v>Físico</x:v>
      </x:c>
      <x:c r="I5" s="142" t="n">
        <x:f>ROUND(100*(Metodologia!$B$17*(Q5/Metodologia!$B$22)+Metodologia!$B$18*(R5/Metodologia!$B$23)+Metodologia!$B$19*(S5/Metodologia!$B$24)+Metodologia!$B$20*(P5/Metodologia!$B$25)+Metodologia!$B$21*(J5/Metodologia!$B$26)),2)</x:f>
        <x:v>81.44</x:v>
      </x:c>
      <x:c r="J5" s="82" t="n">
        <x:f>SUM(K5:P5)</x:f>
        <x:v>600</x:v>
      </x:c>
      <x:c r="K5" s="82" t="n">
        <x:v>91</x:v>
      </x:c>
      <x:c r="L5" s="82" t="n">
        <x:v>134</x:v>
      </x:c>
      <x:c r="M5" s="82" t="n">
        <x:v>95</x:v>
      </x:c>
      <x:c r="N5" s="82" t="n">
        <x:v>100</x:v>
      </x:c>
      <x:c r="O5" s="82" t="n">
        <x:v>100</x:v>
      </x:c>
      <x:c r="P5" s="82" t="n">
        <x:v>80</x:v>
      </x:c>
      <x:c r="Q5" s="143" t="n">
        <x:f>MAX(L5,N5)*Metodologia!$B$16</x:f>
        <x:v>174.20000000000002</x:v>
      </x:c>
      <x:c r="R5" s="143" t="n">
        <x:f>MIN(L5,N5)*Metodologia!$B$16</x:f>
        <x:v>130</x:v>
      </x:c>
      <x:c r="S5" s="143" t="n">
        <x:f>SQRT(K5*AVERAGE(M5,O5)*Metodologia!$B$16)</x:f>
        <x:v>107.39762567207899</x:v>
      </x:c>
      <x:c r="T5" s="82" t="str">
        <x:v>Sim</x:v>
      </x:c>
      <x:c r="U5" s="82" t="str">
        <x:v>Rankeado</x:v>
      </x:c>
      <x:c r="V5" s="82" t="str">
        <x:v>Perfil físico; melhor atributo ofensivo 134, ofensiva secundária 100, robustez relativa 69% e Speed 80. O índice privilegia dano de hunt, sem ignorar sobrevivência.</x:v>
      </x:c>
      <x:c r="W5" s="82" t="str">
        <x:v>É o líder do clã no modelo.</x:v>
      </x:c>
      <x:c r="X5" s="82" t="str">
        <x:v>Fica à frente de Gyarados porque possui ofensiva secundária 66.7% maior e teto ofensivo 7.2% maior.</x:v>
      </x:c>
      <x:c r="Y5" s="154" t="str">
        <x:v>https://poke.idleworld.online/pokepedia/pokemon/dragonite</x:v>
      </x:c>
    </x:row>
    <x:row r="6" ht="48" customHeight="1">
      <x:c r="A6" s="82" t="n">
        <x:f>IF(U6&lt;&gt;"Rankeado","",COUNTIFS($U$5:$U$45,"Rankeado",$I$5:$I$45,"&gt;"&amp;I6)+COUNTIFS($U$5:U6,"Rankeado",$I$5:I6,I6))</x:f>
        <x:v>2</x:v>
      </x:c>
      <x:c r="B6" s="82" t="n">
        <x:f>COUNTIF($I$5:$I$45,"&gt;"&amp;I6)+COUNTIF($I$5:I6,I6)</x:f>
        <x:v>5</x:v>
      </x:c>
      <x:c r="C6" s="82" t="str">
        <x:f>IF(I6&gt;=80,"S+",IF(I6&gt;=72,"S",IF(I6&gt;=65,"A",IF(I6&gt;=58,"B",IF(I6&gt;=50,"C",IF(I6&gt;=42,"D","E"))))))</x:f>
        <x:v>S</x:v>
      </x:c>
      <x:c r="D6" s="82" t="str">
        <x:f>IF(AND(U6="Rankeado",A6&lt;=6),"Sim","Não")</x:f>
        <x:v>Sim</x:v>
      </x:c>
      <x:c r="E6" s="82" t="n">
        <x:v>130</x:v>
      </x:c>
      <x:c r="F6" s="80" t="str">
        <x:v>Gyarados</x:v>
      </x:c>
      <x:c r="G6" s="82" t="str">
        <x:v>Água / Voador</x:v>
      </x:c>
      <x:c r="H6" s="82" t="str">
        <x:v>Físico</x:v>
      </x:c>
      <x:c r="I6" s="142" t="n">
        <x:f>ROUND(100*(Metodologia!$B$17*(Q6/Metodologia!$B$22)+Metodologia!$B$18*(R6/Metodologia!$B$23)+Metodologia!$B$19*(S6/Metodologia!$B$24)+Metodologia!$B$20*(P6/Metodologia!$B$25)+Metodologia!$B$21*(J6/Metodologia!$B$26)),2)</x:f>
        <x:v>73.7</x:v>
      </x:c>
      <x:c r="J6" s="82" t="n">
        <x:f>SUM(K6:P6)</x:f>
        <x:v>540</x:v>
      </x:c>
      <x:c r="K6" s="82" t="n">
        <x:v>95</x:v>
      </x:c>
      <x:c r="L6" s="82" t="n">
        <x:v>125</x:v>
      </x:c>
      <x:c r="M6" s="82" t="n">
        <x:v>79</x:v>
      </x:c>
      <x:c r="N6" s="82" t="n">
        <x:v>60</x:v>
      </x:c>
      <x:c r="O6" s="82" t="n">
        <x:v>100</x:v>
      </x:c>
      <x:c r="P6" s="82" t="n">
        <x:v>81</x:v>
      </x:c>
      <x:c r="Q6" s="143" t="n">
        <x:f>MAX(L6,N6)*Metodologia!$B$16</x:f>
        <x:v>162.5</x:v>
      </x:c>
      <x:c r="R6" s="143" t="n">
        <x:f>MIN(L6,N6)*Metodologia!$B$16</x:f>
        <x:v>78</x:v>
      </x:c>
      <x:c r="S6" s="143" t="n">
        <x:f>SQRT(K6*AVERAGE(M6,O6)*Metodologia!$B$16)</x:f>
        <x:v>105.13443774520317</x:v>
      </x:c>
      <x:c r="T6" s="82" t="str">
        <x:v>Sim</x:v>
      </x:c>
      <x:c r="U6" s="82" t="str">
        <x:v>Rankeado</x:v>
      </x:c>
      <x:c r="V6" s="82" t="str">
        <x:v>Perfil físico; melhor atributo ofensivo 125, ofensiva secundária 60, robustez relativa 68% e Speed 81. O índice privilegia dano de hunt, sem ignorar sobrevivência.</x:v>
      </x:c>
      <x:c r="W6" s="82" t="str">
        <x:v>Fica atrás de Dragonite principalmente por ofensiva secundária 40.0% menor e teto ofensivo 6.7% menor.</x:v>
      </x:c>
      <x:c r="X6" s="82" t="str">
        <x:v>Fica à frente de Charizard porque possui teto ofensivo 14.7% maior e robustez sustentada 15.7% maior.</x:v>
      </x:c>
      <x:c r="Y6" s="154" t="str">
        <x:v>https://poke.idleworld.online/pokepedia/pokemon/gyarados</x:v>
      </x:c>
    </x:row>
    <x:row r="7" ht="48" customHeight="1">
      <x:c r="A7" s="82" t="n">
        <x:f>IF(U7&lt;&gt;"Rankeado","",COUNTIFS($U$5:$U$45,"Rankeado",$I$5:$I$45,"&gt;"&amp;I7)+COUNTIFS($U$5:U7,"Rankeado",$I$5:I7,I7))</x:f>
        <x:v>3</x:v>
      </x:c>
      <x:c r="B7" s="82" t="n">
        <x:f>COUNTIF($I$5:$I$45,"&gt;"&amp;I7)+COUNTIF($I$5:I7,I7)</x:f>
        <x:v>6</x:v>
      </x:c>
      <x:c r="C7" s="82" t="str">
        <x:f>IF(I7&gt;=80,"S+",IF(I7&gt;=72,"S",IF(I7&gt;=65,"A",IF(I7&gt;=58,"B",IF(I7&gt;=50,"C",IF(I7&gt;=42,"D","E"))))))</x:f>
        <x:v>A</x:v>
      </x:c>
      <x:c r="D7" s="82" t="str">
        <x:f>IF(AND(U7="Rankeado",A7&lt;=6),"Sim","Não")</x:f>
        <x:v>Sim</x:v>
      </x:c>
      <x:c r="E7" s="82" t="n">
        <x:v>6</x:v>
      </x:c>
      <x:c r="F7" s="80" t="str">
        <x:v>Charizard</x:v>
      </x:c>
      <x:c r="G7" s="82" t="str">
        <x:v>Fogo / Voador</x:v>
      </x:c>
      <x:c r="H7" s="82" t="str">
        <x:v>Especial</x:v>
      </x:c>
      <x:c r="I7" s="142" t="n">
        <x:f>ROUND(100*(Metodologia!$B$17*(Q7/Metodologia!$B$22)+Metodologia!$B$18*(R7/Metodologia!$B$23)+Metodologia!$B$19*(S7/Metodologia!$B$24)+Metodologia!$B$20*(P7/Metodologia!$B$25)+Metodologia!$B$21*(J7/Metodologia!$B$26)),2)</x:f>
        <x:v>69.49</x:v>
      </x:c>
      <x:c r="J7" s="82" t="n">
        <x:f>SUM(K7:P7)</x:f>
        <x:v>534</x:v>
      </x:c>
      <x:c r="K7" s="82" t="n">
        <x:v>78</x:v>
      </x:c>
      <x:c r="L7" s="82" t="n">
        <x:v>84</x:v>
      </x:c>
      <x:c r="M7" s="82" t="n">
        <x:v>78</x:v>
      </x:c>
      <x:c r="N7" s="82" t="n">
        <x:v>109</x:v>
      </x:c>
      <x:c r="O7" s="82" t="n">
        <x:v>85</x:v>
      </x:c>
      <x:c r="P7" s="82" t="n">
        <x:v>100</x:v>
      </x:c>
      <x:c r="Q7" s="143" t="n">
        <x:f>MAX(L7,N7)*Metodologia!$B$16</x:f>
        <x:v>141.70000000000002</x:v>
      </x:c>
      <x:c r="R7" s="143" t="n">
        <x:f>MIN(L7,N7)*Metodologia!$B$16</x:f>
        <x:v>109.2</x:v>
      </x:c>
      <x:c r="S7" s="143" t="n">
        <x:f>SQRT(K7*AVERAGE(M7,O7)*Metodologia!$B$16)</x:f>
        <x:v>90.90709543264487</x:v>
      </x:c>
      <x:c r="T7" s="82" t="str">
        <x:v>Sim</x:v>
      </x:c>
      <x:c r="U7" s="82" t="str">
        <x:v>Rankeado</x:v>
      </x:c>
      <x:c r="V7" s="82" t="str">
        <x:v>Perfil especial; melhor atributo ofensivo 109, ofensiva secundária 84, robustez relativa 59% e Speed 100. O índice privilegia dano de hunt, sem ignorar sobrevivência.</x:v>
      </x:c>
      <x:c r="W7" s="82" t="str">
        <x:v>Fica atrás de Gyarados principalmente por teto ofensivo 12.8% menor e robustez sustentada 13.5% menor.</x:v>
      </x:c>
      <x:c r="X7" s="82" t="str">
        <x:v>Fica à frente de Aerodactyl porque possui ofensiva secundária 40.0% maior e teto ofensivo 3.8% maior.</x:v>
      </x:c>
      <x:c r="Y7" s="154" t="str">
        <x:v>https://poke.idleworld.online/pokepedia/pokemon/charizard</x:v>
      </x:c>
    </x:row>
    <x:row r="8" ht="48" customHeight="1">
      <x:c r="A8" s="82" t="n">
        <x:f>IF(U8&lt;&gt;"Rankeado","",COUNTIFS($U$5:$U$45,"Rankeado",$I$5:$I$45,"&gt;"&amp;I8)+COUNTIFS($U$5:U8,"Rankeado",$I$5:I8,I8))</x:f>
        <x:v>4</x:v>
      </x:c>
      <x:c r="B8" s="82" t="n">
        <x:f>COUNTIF($I$5:$I$45,"&gt;"&amp;I8)+COUNTIF($I$5:I8,I8)</x:f>
        <x:v>8</x:v>
      </x:c>
      <x:c r="C8" s="82" t="str">
        <x:f>IF(I8&gt;=80,"S+",IF(I8&gt;=72,"S",IF(I8&gt;=65,"A",IF(I8&gt;=58,"B",IF(I8&gt;=50,"C",IF(I8&gt;=42,"D","E"))))))</x:f>
        <x:v>A</x:v>
      </x:c>
      <x:c r="D8" s="82" t="str">
        <x:f>IF(AND(U8="Rankeado",A8&lt;=6),"Sim","Não")</x:f>
        <x:v>Sim</x:v>
      </x:c>
      <x:c r="E8" s="82" t="n">
        <x:v>142</x:v>
      </x:c>
      <x:c r="F8" s="80" t="str">
        <x:v>Aerodactyl</x:v>
      </x:c>
      <x:c r="G8" s="82" t="str">
        <x:v>Pedra / Voador</x:v>
      </x:c>
      <x:c r="H8" s="82" t="str">
        <x:v>Físico</x:v>
      </x:c>
      <x:c r="I8" s="142" t="n">
        <x:f>ROUND(100*(Metodologia!$B$17*(Q8/Metodologia!$B$22)+Metodologia!$B$18*(R8/Metodologia!$B$23)+Metodologia!$B$19*(S8/Metodologia!$B$24)+Metodologia!$B$20*(P8/Metodologia!$B$25)+Metodologia!$B$21*(J8/Metodologia!$B$26)),2)</x:f>
        <x:v>67.07</x:v>
      </x:c>
      <x:c r="J8" s="82" t="n">
        <x:f>SUM(K8:P8)</x:f>
        <x:v>515</x:v>
      </x:c>
      <x:c r="K8" s="82" t="n">
        <x:v>80</x:v>
      </x:c>
      <x:c r="L8" s="82" t="n">
        <x:v>105</x:v>
      </x:c>
      <x:c r="M8" s="82" t="n">
        <x:v>65</x:v>
      </x:c>
      <x:c r="N8" s="82" t="n">
        <x:v>60</x:v>
      </x:c>
      <x:c r="O8" s="82" t="n">
        <x:v>75</x:v>
      </x:c>
      <x:c r="P8" s="82" t="n">
        <x:v>130</x:v>
      </x:c>
      <x:c r="Q8" s="143" t="n">
        <x:f>MAX(L8,N8)*Metodologia!$B$16</x:f>
        <x:v>136.5</x:v>
      </x:c>
      <x:c r="R8" s="143" t="n">
        <x:f>MIN(L8,N8)*Metodologia!$B$16</x:f>
        <x:v>78</x:v>
      </x:c>
      <x:c r="S8" s="143" t="n">
        <x:f>SQRT(K8*AVERAGE(M8,O8)*Metodologia!$B$16)</x:f>
        <x:v>85.32291603080617</x:v>
      </x:c>
      <x:c r="T8" s="82" t="str">
        <x:v>Sim</x:v>
      </x:c>
      <x:c r="U8" s="82" t="str">
        <x:v>Rankeado</x:v>
      </x:c>
      <x:c r="V8" s="82" t="str">
        <x:v>Perfil físico; melhor atributo ofensivo 105, ofensiva secundária 60, robustez relativa 55% e Speed 130. O índice privilegia dano de hunt, sem ignorar sobrevivência.</x:v>
      </x:c>
      <x:c r="W8" s="82" t="str">
        <x:v>Fica atrás de Charizard principalmente por ofensiva secundária 28.6% menor e teto ofensivo 3.7% menor.</x:v>
      </x:c>
      <x:c r="X8" s="82" t="str">
        <x:v>Fica à frente de Scyther porque possui velocidade 23.8% maior e ofensiva secundária 9.1% maior.</x:v>
      </x:c>
      <x:c r="Y8" s="154" t="str">
        <x:v>https://poke.idleworld.online/pokepedia/pokemon/aerodactyl</x:v>
      </x:c>
    </x:row>
    <x:row r="9" ht="48" customHeight="1">
      <x:c r="A9" s="82" t="n">
        <x:f>IF(U9&lt;&gt;"Rankeado","",COUNTIFS($U$5:$U$45,"Rankeado",$I$5:$I$45,"&gt;"&amp;I9)+COUNTIFS($U$5:U9,"Rankeado",$I$5:I9,I9))</x:f>
        <x:v>5</x:v>
      </x:c>
      <x:c r="B9" s="82" t="n">
        <x:f>COUNTIF($I$5:$I$45,"&gt;"&amp;I9)+COUNTIF($I$5:I9,I9)</x:f>
        <x:v>9</x:v>
      </x:c>
      <x:c r="C9" s="82" t="str">
        <x:f>IF(I9&gt;=80,"S+",IF(I9&gt;=72,"S",IF(I9&gt;=65,"A",IF(I9&gt;=58,"B",IF(I9&gt;=50,"C",IF(I9&gt;=42,"D","E"))))))</x:f>
        <x:v>A</x:v>
      </x:c>
      <x:c r="D9" s="82" t="str">
        <x:f>IF(AND(U9="Rankeado",A9&lt;=6),"Sim","Não")</x:f>
        <x:v>Sim</x:v>
      </x:c>
      <x:c r="E9" s="82" t="n">
        <x:v>123</x:v>
      </x:c>
      <x:c r="F9" s="80" t="str">
        <x:v>Scyther</x:v>
      </x:c>
      <x:c r="G9" s="82" t="str">
        <x:v>Inseto / Voador</x:v>
      </x:c>
      <x:c r="H9" s="82" t="str">
        <x:v>Físico</x:v>
      </x:c>
      <x:c r="I9" s="142" t="n">
        <x:f>ROUND(100*(Metodologia!$B$17*(Q9/Metodologia!$B$22)+Metodologia!$B$18*(R9/Metodologia!$B$23)+Metodologia!$B$19*(S9/Metodologia!$B$24)+Metodologia!$B$20*(P9/Metodologia!$B$25)+Metodologia!$B$21*(J9/Metodologia!$B$26)),2)</x:f>
        <x:v>66.79</x:v>
      </x:c>
      <x:c r="J9" s="82" t="n">
        <x:f>SUM(K9:P9)</x:f>
        <x:v>500</x:v>
      </x:c>
      <x:c r="K9" s="82" t="n">
        <x:v>70</x:v>
      </x:c>
      <x:c r="L9" s="82" t="n">
        <x:v>110</x:v>
      </x:c>
      <x:c r="M9" s="82" t="n">
        <x:v>80</x:v>
      </x:c>
      <x:c r="N9" s="82" t="n">
        <x:v>55</x:v>
      </x:c>
      <x:c r="O9" s="82" t="n">
        <x:v>80</x:v>
      </x:c>
      <x:c r="P9" s="82" t="n">
        <x:v>105</x:v>
      </x:c>
      <x:c r="Q9" s="143" t="n">
        <x:f>MAX(L9,N9)*Metodologia!$B$16</x:f>
        <x:v>143</x:v>
      </x:c>
      <x:c r="R9" s="143" t="n">
        <x:f>MIN(L9,N9)*Metodologia!$B$16</x:f>
        <x:v>71.5</x:v>
      </x:c>
      <x:c r="S9" s="143" t="n">
        <x:f>SQRT(K9*AVERAGE(M9,O9)*Metodologia!$B$16)</x:f>
        <x:v>85.32291603080617</x:v>
      </x:c>
      <x:c r="T9" s="82" t="str">
        <x:v>Sim</x:v>
      </x:c>
      <x:c r="U9" s="82" t="str">
        <x:v>Rankeado</x:v>
      </x:c>
      <x:c r="V9" s="82" t="str">
        <x:v>Perfil físico; melhor atributo ofensivo 110, ofensiva secundária 55, robustez relativa 55% e Speed 105. O índice privilegia dano de hunt, sem ignorar sobrevivência.</x:v>
      </x:c>
      <x:c r="W9" s="82" t="str">
        <x:v>Fica atrás de Aerodactyl principalmente por velocidade 19.2% menor e ofensiva secundária 8.3% menor.</x:v>
      </x:c>
      <x:c r="X9" s="82" t="str">
        <x:v>Fica à frente de Dodrio porque possui robustez sustentada 19.8% maior e total de stats 6.4% maior.</x:v>
      </x:c>
      <x:c r="Y9" s="154" t="str">
        <x:v>https://poke.idleworld.online/pokepedia/pokemon/scyther</x:v>
      </x:c>
    </x:row>
    <x:row r="10" ht="48" customHeight="1">
      <x:c r="A10" s="82" t="n">
        <x:f>IF(U10&lt;&gt;"Rankeado","",COUNTIFS($U$5:$U$45,"Rankeado",$I$5:$I$45,"&gt;"&amp;I10)+COUNTIFS($U$5:U10,"Rankeado",$I$5:I10,I10))</x:f>
        <x:v>6</x:v>
      </x:c>
      <x:c r="B10" s="82" t="n">
        <x:f>COUNTIF($I$5:$I$45,"&gt;"&amp;I10)+COUNTIF($I$5:I10,I10)</x:f>
        <x:v>10</x:v>
      </x:c>
      <x:c r="C10" s="82" t="str">
        <x:f>IF(I10&gt;=80,"S+",IF(I10&gt;=72,"S",IF(I10&gt;=65,"A",IF(I10&gt;=58,"B",IF(I10&gt;=50,"C",IF(I10&gt;=42,"D","E"))))))</x:f>
        <x:v>A</x:v>
      </x:c>
      <x:c r="D10" s="82" t="str">
        <x:f>IF(AND(U10="Rankeado",A10&lt;=6),"Sim","Não")</x:f>
        <x:v>Sim</x:v>
      </x:c>
      <x:c r="E10" s="82" t="n">
        <x:v>85</x:v>
      </x:c>
      <x:c r="F10" s="80" t="str">
        <x:v>Dodrio</x:v>
      </x:c>
      <x:c r="G10" s="82" t="str">
        <x:v>Normal / Voador</x:v>
      </x:c>
      <x:c r="H10" s="82" t="str">
        <x:v>Físico</x:v>
      </x:c>
      <x:c r="I10" s="142" t="n">
        <x:f>ROUND(100*(Metodologia!$B$17*(Q10/Metodologia!$B$22)+Metodologia!$B$18*(R10/Metodologia!$B$23)+Metodologia!$B$19*(S10/Metodologia!$B$24)+Metodologia!$B$20*(P10/Metodologia!$B$25)+Metodologia!$B$21*(J10/Metodologia!$B$26)),2)</x:f>
        <x:v>65.99</x:v>
      </x:c>
      <x:c r="J10" s="82" t="n">
        <x:f>SUM(K10:P10)</x:f>
        <x:v>470</x:v>
      </x:c>
      <x:c r="K10" s="82" t="n">
        <x:v>60</x:v>
      </x:c>
      <x:c r="L10" s="82" t="n">
        <x:v>110</x:v>
      </x:c>
      <x:c r="M10" s="82" t="n">
        <x:v>70</x:v>
      </x:c>
      <x:c r="N10" s="82" t="n">
        <x:v>60</x:v>
      </x:c>
      <x:c r="O10" s="82" t="n">
        <x:v>60</x:v>
      </x:c>
      <x:c r="P10" s="82" t="n">
        <x:v>110</x:v>
      </x:c>
      <x:c r="Q10" s="143" t="n">
        <x:f>MAX(L10,N10)*Metodologia!$B$16</x:f>
        <x:v>143</x:v>
      </x:c>
      <x:c r="R10" s="143" t="n">
        <x:f>MIN(L10,N10)*Metodologia!$B$16</x:f>
        <x:v>78</x:v>
      </x:c>
      <x:c r="S10" s="143" t="n">
        <x:f>SQRT(K10*AVERAGE(M10,O10)*Metodologia!$B$16)</x:f>
        <x:v>71.20393247567159</x:v>
      </x:c>
      <x:c r="T10" s="82" t="str">
        <x:v>Sim</x:v>
      </x:c>
      <x:c r="U10" s="82" t="str">
        <x:v>Rankeado</x:v>
      </x:c>
      <x:c r="V10" s="82" t="str">
        <x:v>Perfil físico; melhor atributo ofensivo 110, ofensiva secundária 60, robustez relativa 46% e Speed 110. O índice privilegia dano de hunt, sem ignorar sobrevivência.</x:v>
      </x:c>
      <x:c r="W10" s="82" t="str">
        <x:v>Fica atrás de Scyther principalmente por robustez sustentada 16.5% menor e total de stats 6.0% menor.</x:v>
      </x:c>
      <x:c r="X10" s="82" t="str">
        <x:v>Fica à frente de Kingdra porque possui teto ofensivo 15.8% maior e velocidade 29.4% maior.</x:v>
      </x:c>
      <x:c r="Y10" s="154" t="str">
        <x:v>https://poke.idleworld.online/pokepedia/pokemon/dodrio</x:v>
      </x:c>
    </x:row>
    <x:row r="11" ht="48" customHeight="1">
      <x:c r="A11" s="82" t="n">
        <x:f>IF(U11&lt;&gt;"Rankeado","",COUNTIFS($U$5:$U$45,"Rankeado",$I$5:$I$45,"&gt;"&amp;I11)+COUNTIFS($U$5:U11,"Rankeado",$I$5:I11,I11))</x:f>
        <x:v>7</x:v>
      </x:c>
      <x:c r="B11" s="82" t="n">
        <x:f>COUNTIF($I$5:$I$45,"&gt;"&amp;I11)+COUNTIF($I$5:I11,I11)</x:f>
        <x:v>12</x:v>
      </x:c>
      <x:c r="C11" s="82" t="str">
        <x:f>IF(I11&gt;=80,"S+",IF(I11&gt;=72,"S",IF(I11&gt;=65,"A",IF(I11&gt;=58,"B",IF(I11&gt;=50,"C",IF(I11&gt;=42,"D","E"))))))</x:f>
        <x:v>B</x:v>
      </x:c>
      <x:c r="D11" s="82" t="str">
        <x:f>IF(AND(U11="Rankeado",A11&lt;=6),"Sim","Não")</x:f>
        <x:v>Não</x:v>
      </x:c>
      <x:c r="E11" s="82" t="n">
        <x:v>230</x:v>
      </x:c>
      <x:c r="F11" s="80" t="str">
        <x:v>Kingdra</x:v>
      </x:c>
      <x:c r="G11" s="82" t="str">
        <x:v>Água / Dragão</x:v>
      </x:c>
      <x:c r="H11" s="82" t="str">
        <x:v>Misto</x:v>
      </x:c>
      <x:c r="I11" s="142" t="n">
        <x:f>ROUND(100*(Metodologia!$B$17*(Q11/Metodologia!$B$22)+Metodologia!$B$18*(R11/Metodologia!$B$23)+Metodologia!$B$19*(S11/Metodologia!$B$24)+Metodologia!$B$20*(P11/Metodologia!$B$25)+Metodologia!$B$21*(J11/Metodologia!$B$26)),2)</x:f>
        <x:v>64.6</x:v>
      </x:c>
      <x:c r="J11" s="82" t="n">
        <x:f>SUM(K11:P11)</x:f>
        <x:v>540</x:v>
      </x:c>
      <x:c r="K11" s="82" t="n">
        <x:v>75</x:v>
      </x:c>
      <x:c r="L11" s="82" t="n">
        <x:v>95</x:v>
      </x:c>
      <x:c r="M11" s="82" t="n">
        <x:v>95</x:v>
      </x:c>
      <x:c r="N11" s="82" t="n">
        <x:v>95</x:v>
      </x:c>
      <x:c r="O11" s="82" t="n">
        <x:v>95</x:v>
      </x:c>
      <x:c r="P11" s="82" t="n">
        <x:v>85</x:v>
      </x:c>
      <x:c r="Q11" s="143" t="n">
        <x:f>MAX(L11,N11)*Metodologia!$B$16</x:f>
        <x:v>123.5</x:v>
      </x:c>
      <x:c r="R11" s="143" t="n">
        <x:f>MIN(L11,N11)*Metodologia!$B$16</x:f>
        <x:v>123.5</x:v>
      </x:c>
      <x:c r="S11" s="143" t="n">
        <x:f>SQRT(K11*AVERAGE(M11,O11)*Metodologia!$B$16)</x:f>
        <x:v>96.24188277460078</x:v>
      </x:c>
      <x:c r="T11" s="82" t="str">
        <x:v>Sim</x:v>
      </x:c>
      <x:c r="U11" s="82" t="str">
        <x:v>Rankeado</x:v>
      </x:c>
      <x:c r="V11" s="82" t="str">
        <x:v>Perfil misto; melhor atributo ofensivo 95, ofensiva secundária 95, robustez relativa 62% e Speed 85. O índice privilegia dano de hunt, sem ignorar sobrevivência.</x:v>
      </x:c>
      <x:c r="W11" s="82" t="str">
        <x:v>Fica atrás de Dodrio principalmente por teto ofensivo 13.6% menor e velocidade 22.7% menor.</x:v>
      </x:c>
      <x:c r="X11" s="82" t="str">
        <x:v>Fica à frente de Crobat porque possui ofensiva secundária 35.7% maior e teto ofensivo 5.6% maior.</x:v>
      </x:c>
      <x:c r="Y11" s="154" t="str">
        <x:v>https://poke.idleworld.online/pokepedia/pokemon/kingdra</x:v>
      </x:c>
    </x:row>
    <x:row r="12" ht="48" customHeight="1">
      <x:c r="A12" s="82" t="n">
        <x:f>IF(U12&lt;&gt;"Rankeado","",COUNTIFS($U$5:$U$45,"Rankeado",$I$5:$I$45,"&gt;"&amp;I12)+COUNTIFS($U$5:U12,"Rankeado",$I$5:I12,I12))</x:f>
        <x:v>8</x:v>
      </x:c>
      <x:c r="B12" s="82" t="n">
        <x:f>COUNTIF($I$5:$I$45,"&gt;"&amp;I12)+COUNTIF($I$5:I12,I12)</x:f>
        <x:v>13</x:v>
      </x:c>
      <x:c r="C12" s="82" t="str">
        <x:f>IF(I12&gt;=80,"S+",IF(I12&gt;=72,"S",IF(I12&gt;=65,"A",IF(I12&gt;=58,"B",IF(I12&gt;=50,"C",IF(I12&gt;=42,"D","E"))))))</x:f>
        <x:v>B</x:v>
      </x:c>
      <x:c r="D12" s="82" t="str">
        <x:f>IF(AND(U12="Rankeado",A12&lt;=6),"Sim","Não")</x:f>
        <x:v>Não</x:v>
      </x:c>
      <x:c r="E12" s="82" t="n">
        <x:v>169</x:v>
      </x:c>
      <x:c r="F12" s="80" t="str">
        <x:v>Crobat</x:v>
      </x:c>
      <x:c r="G12" s="82" t="str">
        <x:v>Veneno / Voador</x:v>
      </x:c>
      <x:c r="H12" s="82" t="str">
        <x:v>Físico</x:v>
      </x:c>
      <x:c r="I12" s="142" t="n">
        <x:f>ROUND(100*(Metodologia!$B$17*(Q12/Metodologia!$B$22)+Metodologia!$B$18*(R12/Metodologia!$B$23)+Metodologia!$B$19*(S12/Metodologia!$B$24)+Metodologia!$B$20*(P12/Metodologia!$B$25)+Metodologia!$B$21*(J12/Metodologia!$B$26)),2)</x:f>
        <x:v>63.13</x:v>
      </x:c>
      <x:c r="J12" s="82" t="n">
        <x:f>SUM(K12:P12)</x:f>
        <x:v>535</x:v>
      </x:c>
      <x:c r="K12" s="82" t="n">
        <x:v>85</x:v>
      </x:c>
      <x:c r="L12" s="82" t="n">
        <x:v>90</x:v>
      </x:c>
      <x:c r="M12" s="82" t="n">
        <x:v>80</x:v>
      </x:c>
      <x:c r="N12" s="82" t="n">
        <x:v>70</x:v>
      </x:c>
      <x:c r="O12" s="82" t="n">
        <x:v>80</x:v>
      </x:c>
      <x:c r="P12" s="82" t="n">
        <x:v>130</x:v>
      </x:c>
      <x:c r="Q12" s="143" t="n">
        <x:f>MAX(L12,N12)*Metodologia!$B$16</x:f>
        <x:v>117</x:v>
      </x:c>
      <x:c r="R12" s="143" t="n">
        <x:f>MIN(L12,N12)*Metodologia!$B$16</x:f>
        <x:v>91</x:v>
      </x:c>
      <x:c r="S12" s="143" t="n">
        <x:f>SQRT(K12*AVERAGE(M12,O12)*Metodologia!$B$16)</x:f>
        <x:v>94.02127418834527</x:v>
      </x:c>
      <x:c r="T12" s="82" t="str">
        <x:v>Sim</x:v>
      </x:c>
      <x:c r="U12" s="82" t="str">
        <x:v>Rankeado</x:v>
      </x:c>
      <x:c r="V12" s="82" t="str">
        <x:v>Perfil físico; melhor atributo ofensivo 90, ofensiva secundária 70, robustez relativa 61% e Speed 130. O índice privilegia dano de hunt, sem ignorar sobrevivência.</x:v>
      </x:c>
      <x:c r="W12" s="82" t="str">
        <x:v>Fica atrás de Kingdra principalmente por ofensiva secundária 26.3% menor e teto ofensivo 5.3% menor.</x:v>
      </x:c>
      <x:c r="X12" s="82" t="str">
        <x:v>Fica à frente de Xatu porque possui velocidade 36.8% maior e robustez sustentada 22.2% maior.</x:v>
      </x:c>
      <x:c r="Y12" s="154" t="str">
        <x:v>https://poke.idleworld.online/pokepedia/pokemon/crobat</x:v>
      </x:c>
    </x:row>
    <x:row r="13" ht="48" customHeight="1">
      <x:c r="A13" s="82" t="n">
        <x:f>IF(U13&lt;&gt;"Rankeado","",COUNTIFS($U$5:$U$45,"Rankeado",$I$5:$I$45,"&gt;"&amp;I13)+COUNTIFS($U$5:U13,"Rankeado",$I$5:I13,I13))</x:f>
        <x:v>9</x:v>
      </x:c>
      <x:c r="B13" s="82" t="n">
        <x:f>COUNTIF($I$5:$I$45,"&gt;"&amp;I13)+COUNTIF($I$5:I13,I13)</x:f>
        <x:v>14</x:v>
      </x:c>
      <x:c r="C13" s="82" t="str">
        <x:f>IF(I13&gt;=80,"S+",IF(I13&gt;=72,"S",IF(I13&gt;=65,"A",IF(I13&gt;=58,"B",IF(I13&gt;=50,"C",IF(I13&gt;=42,"D","E"))))))</x:f>
        <x:v>B</x:v>
      </x:c>
      <x:c r="D13" s="82" t="str">
        <x:f>IF(AND(U13="Rankeado",A13&lt;=6),"Sim","Não")</x:f>
        <x:v>Não</x:v>
      </x:c>
      <x:c r="E13" s="82" t="n">
        <x:v>178</x:v>
      </x:c>
      <x:c r="F13" s="80" t="str">
        <x:v>Xatu</x:v>
      </x:c>
      <x:c r="G13" s="82" t="str">
        <x:v>Psíquico / Voador</x:v>
      </x:c>
      <x:c r="H13" s="82" t="str">
        <x:v>Especial</x:v>
      </x:c>
      <x:c r="I13" s="142" t="n">
        <x:f>ROUND(100*(Metodologia!$B$17*(Q13/Metodologia!$B$22)+Metodologia!$B$18*(R13/Metodologia!$B$23)+Metodologia!$B$19*(S13/Metodologia!$B$24)+Metodologia!$B$20*(P13/Metodologia!$B$25)+Metodologia!$B$21*(J13/Metodologia!$B$26)),2)</x:f>
        <x:v>61.06</x:v>
      </x:c>
      <x:c r="J13" s="82" t="n">
        <x:f>SUM(K13:P13)</x:f>
        <x:v>470</x:v>
      </x:c>
      <x:c r="K13" s="82" t="n">
        <x:v>65</x:v>
      </x:c>
      <x:c r="L13" s="82" t="n">
        <x:v>75</x:v>
      </x:c>
      <x:c r="M13" s="82" t="n">
        <x:v>70</x:v>
      </x:c>
      <x:c r="N13" s="82" t="n">
        <x:v>95</x:v>
      </x:c>
      <x:c r="O13" s="82" t="n">
        <x:v>70</x:v>
      </x:c>
      <x:c r="P13" s="82" t="n">
        <x:v>95</x:v>
      </x:c>
      <x:c r="Q13" s="143" t="n">
        <x:f>MAX(L13,N13)*Metodologia!$B$16</x:f>
        <x:v>123.5</x:v>
      </x:c>
      <x:c r="R13" s="143" t="n">
        <x:f>MIN(L13,N13)*Metodologia!$B$16</x:f>
        <x:v>97.5</x:v>
      </x:c>
      <x:c r="S13" s="143" t="n">
        <x:f>SQRT(K13*AVERAGE(M13,O13)*Metodologia!$B$16)</x:f>
        <x:v>76.909037180295</x:v>
      </x:c>
      <x:c r="T13" s="82" t="str">
        <x:v>Sim</x:v>
      </x:c>
      <x:c r="U13" s="82" t="str">
        <x:v>Rankeado</x:v>
      </x:c>
      <x:c r="V13" s="82" t="str">
        <x:v>Perfil especial; melhor atributo ofensivo 95, ofensiva secundária 75, robustez relativa 50% e Speed 95. O índice privilegia dano de hunt, sem ignorar sobrevivência.</x:v>
      </x:c>
      <x:c r="W13" s="82" t="str">
        <x:v>Fica atrás de Crobat principalmente por velocidade 26.9% menor e robustez sustentada 18.2% menor.</x:v>
      </x:c>
      <x:c r="X13" s="82" t="str">
        <x:v>Fica à frente de Fearow porque possui teto ofensivo 5.6% maior e ofensiva secundária 23.0% maior.</x:v>
      </x:c>
      <x:c r="Y13" s="154" t="str">
        <x:v>https://poke.idleworld.online/pokepedia/pokemon/xatu</x:v>
      </x:c>
    </x:row>
    <x:row r="14" ht="48" customHeight="1">
      <x:c r="A14" s="82" t="n">
        <x:f>IF(U14&lt;&gt;"Rankeado","",COUNTIFS($U$5:$U$45,"Rankeado",$I$5:$I$45,"&gt;"&amp;I14)+COUNTIFS($U$5:U14,"Rankeado",$I$5:I14,I14))</x:f>
        <x:v>10</x:v>
      </x:c>
      <x:c r="B14" s="82" t="n">
        <x:f>COUNTIF($I$5:$I$45,"&gt;"&amp;I14)+COUNTIF($I$5:I14,I14)</x:f>
        <x:v>15</x:v>
      </x:c>
      <x:c r="C14" s="82" t="str">
        <x:f>IF(I14&gt;=80,"S+",IF(I14&gt;=72,"S",IF(I14&gt;=65,"A",IF(I14&gt;=58,"B",IF(I14&gt;=50,"C",IF(I14&gt;=42,"D","E"))))))</x:f>
        <x:v>C</x:v>
      </x:c>
      <x:c r="D14" s="82" t="str">
        <x:f>IF(AND(U14="Rankeado",A14&lt;=6),"Sim","Não")</x:f>
        <x:v>Não</x:v>
      </x:c>
      <x:c r="E14" s="82" t="n">
        <x:v>22</x:v>
      </x:c>
      <x:c r="F14" s="80" t="str">
        <x:v>Fearow</x:v>
      </x:c>
      <x:c r="G14" s="82" t="str">
        <x:v>Normal / Voador</x:v>
      </x:c>
      <x:c r="H14" s="82" t="str">
        <x:v>Físico</x:v>
      </x:c>
      <x:c r="I14" s="142" t="n">
        <x:f>ROUND(100*(Metodologia!$B$17*(Q14/Metodologia!$B$22)+Metodologia!$B$18*(R14/Metodologia!$B$23)+Metodologia!$B$19*(S14/Metodologia!$B$24)+Metodologia!$B$20*(P14/Metodologia!$B$25)+Metodologia!$B$21*(J14/Metodologia!$B$26)),2)</x:f>
        <x:v>57.59</x:v>
      </x:c>
      <x:c r="J14" s="82" t="n">
        <x:f>SUM(K14:P14)</x:f>
        <x:v>442</x:v>
      </x:c>
      <x:c r="K14" s="82" t="n">
        <x:v>65</x:v>
      </x:c>
      <x:c r="L14" s="82" t="n">
        <x:v>90</x:v>
      </x:c>
      <x:c r="M14" s="82" t="n">
        <x:v>65</x:v>
      </x:c>
      <x:c r="N14" s="82" t="n">
        <x:v>61</x:v>
      </x:c>
      <x:c r="O14" s="82" t="n">
        <x:v>61</x:v>
      </x:c>
      <x:c r="P14" s="82" t="n">
        <x:v>100</x:v>
      </x:c>
      <x:c r="Q14" s="143" t="n">
        <x:f>MAX(L14,N14)*Metodologia!$B$16</x:f>
        <x:v>117</x:v>
      </x:c>
      <x:c r="R14" s="143" t="n">
        <x:f>MIN(L14,N14)*Metodologia!$B$16</x:f>
        <x:v>79.3</x:v>
      </x:c>
      <x:c r="S14" s="143" t="n">
        <x:f>SQRT(K14*AVERAGE(M14,O14)*Metodologia!$B$16)</x:f>
        <x:v>72.96231904209186</x:v>
      </x:c>
      <x:c r="T14" s="82" t="str">
        <x:v>Sim</x:v>
      </x:c>
      <x:c r="U14" s="82" t="str">
        <x:v>Rankeado</x:v>
      </x:c>
      <x:c r="V14" s="82" t="str">
        <x:v>Perfil físico; melhor atributo ofensivo 90, ofensiva secundária 61, robustez relativa 47% e Speed 100. O índice privilegia dano de hunt, sem ignorar sobrevivência.</x:v>
      </x:c>
      <x:c r="W14" s="82" t="str">
        <x:v>Fica atrás de Xatu principalmente por teto ofensivo 5.3% menor e ofensiva secundária 18.7% menor.</x:v>
      </x:c>
      <x:c r="X14" s="82" t="str">
        <x:v>Fica à frente de Pidgeot porque possui teto ofensivo 12.5% maior.</x:v>
      </x:c>
      <x:c r="Y14" s="154" t="str">
        <x:v>https://poke.idleworld.online/pokepedia/pokemon/fearow</x:v>
      </x:c>
    </x:row>
    <x:row r="15" ht="48" customHeight="1">
      <x:c r="A15" s="82" t="n">
        <x:f>IF(U15&lt;&gt;"Rankeado","",COUNTIFS($U$5:$U$45,"Rankeado",$I$5:$I$45,"&gt;"&amp;I15)+COUNTIFS($U$5:U15,"Rankeado",$I$5:I15,I15))</x:f>
        <x:v>11</x:v>
      </x:c>
      <x:c r="B15" s="82" t="n">
        <x:f>COUNTIF($I$5:$I$45,"&gt;"&amp;I15)+COUNTIF($I$5:I15,I15)</x:f>
        <x:v>16</x:v>
      </x:c>
      <x:c r="C15" s="82" t="str">
        <x:f>IF(I15&gt;=80,"S+",IF(I15&gt;=72,"S",IF(I15&gt;=65,"A",IF(I15&gt;=58,"B",IF(I15&gt;=50,"C",IF(I15&gt;=42,"D","E"))))))</x:f>
        <x:v>C</x:v>
      </x:c>
      <x:c r="D15" s="82" t="str">
        <x:f>IF(AND(U15="Rankeado",A15&lt;=6),"Sim","Não")</x:f>
        <x:v>Não</x:v>
      </x:c>
      <x:c r="E15" s="82" t="n">
        <x:v>18</x:v>
      </x:c>
      <x:c r="F15" s="80" t="str">
        <x:v>Pidgeot</x:v>
      </x:c>
      <x:c r="G15" s="82" t="str">
        <x:v>Normal / Voador</x:v>
      </x:c>
      <x:c r="H15" s="82" t="str">
        <x:v>Misto</x:v>
      </x:c>
      <x:c r="I15" s="142" t="n">
        <x:f>ROUND(100*(Metodologia!$B$17*(Q15/Metodologia!$B$22)+Metodologia!$B$18*(R15/Metodologia!$B$23)+Metodologia!$B$19*(S15/Metodologia!$B$24)+Metodologia!$B$20*(P15/Metodologia!$B$25)+Metodologia!$B$21*(J15/Metodologia!$B$26)),2)</x:f>
        <x:v>56.35</x:v>
      </x:c>
      <x:c r="J15" s="82" t="n">
        <x:f>SUM(K15:P15)</x:f>
        <x:v>479</x:v>
      </x:c>
      <x:c r="K15" s="82" t="n">
        <x:v>83</x:v>
      </x:c>
      <x:c r="L15" s="82" t="n">
        <x:v>80</x:v>
      </x:c>
      <x:c r="M15" s="82" t="n">
        <x:v>75</x:v>
      </x:c>
      <x:c r="N15" s="82" t="n">
        <x:v>70</x:v>
      </x:c>
      <x:c r="O15" s="82" t="n">
        <x:v>70</x:v>
      </x:c>
      <x:c r="P15" s="82" t="n">
        <x:v>101</x:v>
      </x:c>
      <x:c r="Q15" s="143" t="n">
        <x:f>MAX(L15,N15)*Metodologia!$B$16</x:f>
        <x:v>104</x:v>
      </x:c>
      <x:c r="R15" s="143" t="n">
        <x:f>MIN(L15,N15)*Metodologia!$B$16</x:f>
        <x:v>91</x:v>
      </x:c>
      <x:c r="S15" s="143" t="n">
        <x:f>SQRT(K15*AVERAGE(M15,O15)*Metodologia!$B$16)</x:f>
        <x:v>88.44631139849756</x:v>
      </x:c>
      <x:c r="T15" s="82" t="str">
        <x:v>Sim</x:v>
      </x:c>
      <x:c r="U15" s="82" t="str">
        <x:v>Rankeado</x:v>
      </x:c>
      <x:c r="V15" s="82" t="str">
        <x:v>Perfil misto; melhor atributo ofensivo 80, ofensiva secundária 70, robustez relativa 57% e Speed 101. O índice privilegia dano de hunt, sem ignorar sobrevivência.</x:v>
      </x:c>
      <x:c r="W15" s="82" t="str">
        <x:v>Fica atrás de Fearow principalmente por teto ofensivo 11.1% menor.</x:v>
      </x:c>
      <x:c r="X15" s="82" t="str">
        <x:v>Fica à frente de Noctowl porque possui velocidade 44.3% maior e ofensiva secundária 40.0% maior.</x:v>
      </x:c>
      <x:c r="Y15" s="154" t="str">
        <x:v>https://poke.idleworld.online/pokepedia/pokemon/pidgeot</x:v>
      </x:c>
    </x:row>
    <x:row r="16" ht="48" customHeight="1">
      <x:c r="A16" s="82" t="n">
        <x:f>IF(U16&lt;&gt;"Rankeado","",COUNTIFS($U$5:$U$45,"Rankeado",$I$5:$I$45,"&gt;"&amp;I16)+COUNTIFS($U$5:U16,"Rankeado",$I$5:I16,I16))</x:f>
        <x:v>12</x:v>
      </x:c>
      <x:c r="B16" s="82" t="n">
        <x:f>COUNTIF($I$5:$I$45,"&gt;"&amp;I16)+COUNTIF($I$5:I16,I16)</x:f>
        <x:v>17</x:v>
      </x:c>
      <x:c r="C16" s="82" t="str">
        <x:f>IF(I16&gt;=80,"S+",IF(I16&gt;=72,"S",IF(I16&gt;=65,"A",IF(I16&gt;=58,"B",IF(I16&gt;=50,"C",IF(I16&gt;=42,"D","E"))))))</x:f>
        <x:v>C</x:v>
      </x:c>
      <x:c r="D16" s="82" t="str">
        <x:f>IF(AND(U16="Rankeado",A16&lt;=6),"Sim","Não")</x:f>
        <x:v>Não</x:v>
      </x:c>
      <x:c r="E16" s="82" t="n">
        <x:v>164</x:v>
      </x:c>
      <x:c r="F16" s="80" t="str">
        <x:v>Noctowl</x:v>
      </x:c>
      <x:c r="G16" s="82" t="str">
        <x:v>Normal / Voador</x:v>
      </x:c>
      <x:c r="H16" s="82" t="str">
        <x:v>Especial</x:v>
      </x:c>
      <x:c r="I16" s="142" t="n">
        <x:f>ROUND(100*(Metodologia!$B$17*(Q16/Metodologia!$B$22)+Metodologia!$B$18*(R16/Metodologia!$B$23)+Metodologia!$B$19*(S16/Metodologia!$B$24)+Metodologia!$B$20*(P16/Metodologia!$B$25)+Metodologia!$B$21*(J16/Metodologia!$B$26)),2)</x:f>
        <x:v>55.47</x:v>
      </x:c>
      <x:c r="J16" s="82" t="n">
        <x:f>SUM(K16:P16)</x:f>
        <x:v>452</x:v>
      </x:c>
      <x:c r="K16" s="82" t="n">
        <x:v>100</x:v>
      </x:c>
      <x:c r="L16" s="82" t="n">
        <x:v>50</x:v>
      </x:c>
      <x:c r="M16" s="82" t="n">
        <x:v>50</x:v>
      </x:c>
      <x:c r="N16" s="82" t="n">
        <x:v>86</x:v>
      </x:c>
      <x:c r="O16" s="82" t="n">
        <x:v>96</x:v>
      </x:c>
      <x:c r="P16" s="82" t="n">
        <x:v>70</x:v>
      </x:c>
      <x:c r="Q16" s="143" t="n">
        <x:f>MAX(L16,N16)*Metodologia!$B$16</x:f>
        <x:v>111.8</x:v>
      </x:c>
      <x:c r="R16" s="143" t="n">
        <x:f>MIN(L16,N16)*Metodologia!$B$16</x:f>
        <x:v>65</x:v>
      </x:c>
      <x:c r="S16" s="143" t="n">
        <x:f>SQRT(K16*AVERAGE(M16,O16)*Metodologia!$B$16)</x:f>
        <x:v>97.41663102366043</x:v>
      </x:c>
      <x:c r="T16" s="82" t="str">
        <x:v>Sim</x:v>
      </x:c>
      <x:c r="U16" s="82" t="str">
        <x:v>Rankeado</x:v>
      </x:c>
      <x:c r="V16" s="82" t="str">
        <x:v>Perfil especial; melhor atributo ofensivo 86, ofensiva secundária 50, robustez relativa 63% e Speed 70. O índice privilegia dano de hunt, sem ignorar sobrevivência.</x:v>
      </x:c>
      <x:c r="W16" s="82" t="str">
        <x:v>Fica atrás de Pidgeot principalmente por velocidade 30.7% menor e ofensiva secundária 28.6% menor.</x:v>
      </x:c>
      <x:c r="X16" s="82" t="str">
        <x:v>Fica à frente de Murkrow porque possui robustez sustentada 70.2% maior e teto ofensivo 1.2% maior.</x:v>
      </x:c>
      <x:c r="Y16" s="154" t="str">
        <x:v>https://poke.idleworld.online/pokepedia/pokemon/noctowl</x:v>
      </x:c>
    </x:row>
    <x:row r="17" ht="48" customHeight="1">
      <x:c r="A17" s="82" t="n">
        <x:f>IF(U17&lt;&gt;"Rankeado","",COUNTIFS($U$5:$U$45,"Rankeado",$I$5:$I$45,"&gt;"&amp;I17)+COUNTIFS($U$5:U17,"Rankeado",$I$5:I17,I17))</x:f>
        <x:v>13</x:v>
      </x:c>
      <x:c r="B17" s="82" t="n">
        <x:f>COUNTIF($I$5:$I$45,"&gt;"&amp;I17)+COUNTIF($I$5:I17,I17)</x:f>
        <x:v>18</x:v>
      </x:c>
      <x:c r="C17" s="82" t="str">
        <x:f>IF(I17&gt;=80,"S+",IF(I17&gt;=72,"S",IF(I17&gt;=65,"A",IF(I17&gt;=58,"B",IF(I17&gt;=50,"C",IF(I17&gt;=42,"D","E"))))))</x:f>
        <x:v>C</x:v>
      </x:c>
      <x:c r="D17" s="82" t="str">
        <x:f>IF(AND(U17="Rankeado",A17&lt;=6),"Sim","Não")</x:f>
        <x:v>Não</x:v>
      </x:c>
      <x:c r="E17" s="82" t="n">
        <x:v>198</x:v>
      </x:c>
      <x:c r="F17" s="80" t="str">
        <x:v>Murkrow</x:v>
      </x:c>
      <x:c r="G17" s="82" t="str">
        <x:v>Sombrio / Voador</x:v>
      </x:c>
      <x:c r="H17" s="82" t="str">
        <x:v>Misto</x:v>
      </x:c>
      <x:c r="I17" s="142" t="n">
        <x:f>ROUND(100*(Metodologia!$B$17*(Q17/Metodologia!$B$22)+Metodologia!$B$18*(R17/Metodologia!$B$23)+Metodologia!$B$19*(S17/Metodologia!$B$24)+Metodologia!$B$20*(P17/Metodologia!$B$25)+Metodologia!$B$21*(J17/Metodologia!$B$26)),2)</x:f>
        <x:v>55.43</x:v>
      </x:c>
      <x:c r="J17" s="82" t="n">
        <x:f>SUM(K17:P17)</x:f>
        <x:v>405</x:v>
      </x:c>
      <x:c r="K17" s="82" t="n">
        <x:v>60</x:v>
      </x:c>
      <x:c r="L17" s="82" t="n">
        <x:v>85</x:v>
      </x:c>
      <x:c r="M17" s="82" t="n">
        <x:v>42</x:v>
      </x:c>
      <x:c r="N17" s="82" t="n">
        <x:v>85</x:v>
      </x:c>
      <x:c r="O17" s="82" t="n">
        <x:v>42</x:v>
      </x:c>
      <x:c r="P17" s="82" t="n">
        <x:v>91</x:v>
      </x:c>
      <x:c r="Q17" s="143" t="n">
        <x:f>MAX(L17,N17)*Metodologia!$B$16</x:f>
        <x:v>110.5</x:v>
      </x:c>
      <x:c r="R17" s="143" t="n">
        <x:f>MIN(L17,N17)*Metodologia!$B$16</x:f>
        <x:v>110.5</x:v>
      </x:c>
      <x:c r="S17" s="143" t="n">
        <x:f>SQRT(K17*AVERAGE(M17,O17)*Metodologia!$B$16)</x:f>
        <x:v>57.23635208501674</x:v>
      </x:c>
      <x:c r="T17" s="82" t="str">
        <x:v>Não</x:v>
      </x:c>
      <x:c r="U17" s="82" t="str">
        <x:v>Rankeado</x:v>
      </x:c>
      <x:c r="V17" s="82" t="str">
        <x:v>Perfil misto; melhor atributo ofensivo 85, ofensiva secundária 85, robustez relativa 37% e Speed 91. O índice privilegia dano de hunt, sem ignorar sobrevivência.</x:v>
      </x:c>
      <x:c r="W17" s="82" t="str">
        <x:v>Fica atrás de Noctowl principalmente por robustez sustentada 41.2% menor e teto ofensivo 1.2% menor.</x:v>
      </x:c>
      <x:c r="X17" s="82" t="str">
        <x:v>Fica à frente de Golbat porque possui teto ofensivo 6.2% maior e ofensiva secundária 30.8% maior.</x:v>
      </x:c>
      <x:c r="Y17" s="154" t="str">
        <x:v>https://poke.idleworld.online/pokepedia/pokemon/murkrow</x:v>
      </x:c>
    </x:row>
    <x:row r="18" ht="48" customHeight="1">
      <x:c r="A18" s="82" t="n">
        <x:f>IF(U18&lt;&gt;"Rankeado","",COUNTIFS($U$5:$U$45,"Rankeado",$I$5:$I$45,"&gt;"&amp;I18)+COUNTIFS($U$5:U18,"Rankeado",$I$5:I18,I18))</x:f>
        <x:v>14</x:v>
      </x:c>
      <x:c r="B18" s="82" t="n">
        <x:f>COUNTIF($I$5:$I$45,"&gt;"&amp;I18)+COUNTIF($I$5:I18,I18)</x:f>
        <x:v>19</x:v>
      </x:c>
      <x:c r="C18" s="82" t="str">
        <x:f>IF(I18&gt;=80,"S+",IF(I18&gt;=72,"S",IF(I18&gt;=65,"A",IF(I18&gt;=58,"B",IF(I18&gt;=50,"C",IF(I18&gt;=42,"D","E"))))))</x:f>
        <x:v>C</x:v>
      </x:c>
      <x:c r="D18" s="82" t="str">
        <x:f>IF(AND(U18="Rankeado",A18&lt;=6),"Sim","Não")</x:f>
        <x:v>Não</x:v>
      </x:c>
      <x:c r="E18" s="82" t="n">
        <x:v>42</x:v>
      </x:c>
      <x:c r="F18" s="80" t="str">
        <x:v>Golbat</x:v>
      </x:c>
      <x:c r="G18" s="82" t="str">
        <x:v>Veneno / Voador</x:v>
      </x:c>
      <x:c r="H18" s="82" t="str">
        <x:v>Físico</x:v>
      </x:c>
      <x:c r="I18" s="142" t="n">
        <x:f>ROUND(100*(Metodologia!$B$17*(Q18/Metodologia!$B$22)+Metodologia!$B$18*(R18/Metodologia!$B$23)+Metodologia!$B$19*(S18/Metodologia!$B$24)+Metodologia!$B$20*(P18/Metodologia!$B$25)+Metodologia!$B$21*(J18/Metodologia!$B$26)),2)</x:f>
        <x:v>54.56</x:v>
      </x:c>
      <x:c r="J18" s="82" t="n">
        <x:f>SUM(K18:P18)</x:f>
        <x:v>455</x:v>
      </x:c>
      <x:c r="K18" s="82" t="n">
        <x:v>75</x:v>
      </x:c>
      <x:c r="L18" s="82" t="n">
        <x:v>80</x:v>
      </x:c>
      <x:c r="M18" s="82" t="n">
        <x:v>70</x:v>
      </x:c>
      <x:c r="N18" s="82" t="n">
        <x:v>65</x:v>
      </x:c>
      <x:c r="O18" s="82" t="n">
        <x:v>75</x:v>
      </x:c>
      <x:c r="P18" s="82" t="n">
        <x:v>90</x:v>
      </x:c>
      <x:c r="Q18" s="143" t="n">
        <x:f>MAX(L18,N18)*Metodologia!$B$16</x:f>
        <x:v>104</x:v>
      </x:c>
      <x:c r="R18" s="143" t="n">
        <x:f>MIN(L18,N18)*Metodologia!$B$16</x:f>
        <x:v>84.5</x:v>
      </x:c>
      <x:c r="S18" s="143" t="n">
        <x:f>SQRT(K18*AVERAGE(M18,O18)*Metodologia!$B$16)</x:f>
        <x:v>84.07585860400118</x:v>
      </x:c>
      <x:c r="T18" s="82" t="str">
        <x:v>Sim</x:v>
      </x:c>
      <x:c r="U18" s="82" t="str">
        <x:v>Rankeado</x:v>
      </x:c>
      <x:c r="V18" s="82" t="str">
        <x:v>Perfil físico; melhor atributo ofensivo 80, ofensiva secundária 65, robustez relativa 54% e Speed 90. O índice privilegia dano de hunt, sem ignorar sobrevivência.</x:v>
      </x:c>
      <x:c r="W18" s="82" t="str">
        <x:v>Fica atrás de Murkrow principalmente por teto ofensivo 5.9% menor e ofensiva secundária 23.5% menor.</x:v>
      </x:c>
      <x:c r="X18" s="82" t="str">
        <x:v>Fica à frente de Dragonair porque possui velocidade 28.6% maior e robustez sustentada 14.9% maior.</x:v>
      </x:c>
      <x:c r="Y18" s="154" t="str">
        <x:v>https://poke.idleworld.online/pokepedia/pokemon/golbat</x:v>
      </x:c>
    </x:row>
    <x:row r="19" ht="48" customHeight="1">
      <x:c r="A19" s="82" t="n">
        <x:f>IF(U19&lt;&gt;"Rankeado","",COUNTIFS($U$5:$U$45,"Rankeado",$I$5:$I$45,"&gt;"&amp;I19)+COUNTIFS($U$5:U19,"Rankeado",$I$5:I19,I19))</x:f>
        <x:v>15</x:v>
      </x:c>
      <x:c r="B19" s="82" t="n">
        <x:f>COUNTIF($I$5:$I$45,"&gt;"&amp;I19)+COUNTIF($I$5:I19,I19)</x:f>
        <x:v>20</x:v>
      </x:c>
      <x:c r="C19" s="82" t="str">
        <x:f>IF(I19&gt;=80,"S+",IF(I19&gt;=72,"S",IF(I19&gt;=65,"A",IF(I19&gt;=58,"B",IF(I19&gt;=50,"C",IF(I19&gt;=42,"D","E"))))))</x:f>
        <x:v>C</x:v>
      </x:c>
      <x:c r="D19" s="82" t="str">
        <x:f>IF(AND(U19="Rankeado",A19&lt;=6),"Sim","Não")</x:f>
        <x:v>Não</x:v>
      </x:c>
      <x:c r="E19" s="82" t="n">
        <x:v>148</x:v>
      </x:c>
      <x:c r="F19" s="80" t="str">
        <x:v>Dragonair</x:v>
      </x:c>
      <x:c r="G19" s="82" t="str">
        <x:v>Dragão</x:v>
      </x:c>
      <x:c r="H19" s="82" t="str">
        <x:v>Físico</x:v>
      </x:c>
      <x:c r="I19" s="142" t="n">
        <x:f>ROUND(100*(Metodologia!$B$17*(Q19/Metodologia!$B$22)+Metodologia!$B$18*(R19/Metodologia!$B$23)+Metodologia!$B$19*(S19/Metodologia!$B$24)+Metodologia!$B$20*(P19/Metodologia!$B$25)+Metodologia!$B$21*(J19/Metodologia!$B$26)),2)</x:f>
        <x:v>53.92</x:v>
      </x:c>
      <x:c r="J19" s="82" t="n">
        <x:f>SUM(K19:P19)</x:f>
        <x:v>420</x:v>
      </x:c>
      <x:c r="K19" s="82" t="n">
        <x:v>61</x:v>
      </x:c>
      <x:c r="L19" s="82" t="n">
        <x:v>84</x:v>
      </x:c>
      <x:c r="M19" s="82" t="n">
        <x:v>65</x:v>
      </x:c>
      <x:c r="N19" s="82" t="n">
        <x:v>70</x:v>
      </x:c>
      <x:c r="O19" s="82" t="n">
        <x:v>70</x:v>
      </x:c>
      <x:c r="P19" s="82" t="n">
        <x:v>70</x:v>
      </x:c>
      <x:c r="Q19" s="143" t="n">
        <x:f>MAX(L19,N19)*Metodologia!$B$16</x:f>
        <x:v>109.2</x:v>
      </x:c>
      <x:c r="R19" s="143" t="n">
        <x:f>MIN(L19,N19)*Metodologia!$B$16</x:f>
        <x:v>91</x:v>
      </x:c>
      <x:c r="S19" s="143" t="n">
        <x:f>SQRT(K19*AVERAGE(M19,O19)*Metodologia!$B$16)</x:f>
        <x:v>73.1624903895432</x:v>
      </x:c>
      <x:c r="T19" s="82" t="str">
        <x:v>Sim</x:v>
      </x:c>
      <x:c r="U19" s="82" t="str">
        <x:v>Rankeado</x:v>
      </x:c>
      <x:c r="V19" s="82" t="str">
        <x:v>Perfil físico; melhor atributo ofensivo 84, ofensiva secundária 70, robustez relativa 47% e Speed 70. O índice privilegia dano de hunt, sem ignorar sobrevivência.</x:v>
      </x:c>
      <x:c r="W19" s="82" t="str">
        <x:v>Fica atrás de Golbat principalmente por velocidade 22.2% menor e robustez sustentada 13.0% menor.</x:v>
      </x:c>
      <x:c r="X19" s="82" t="str">
        <x:v>Fica à frente de Butterfree porque possui ofensiva secundária 55.6% maior e robustez sustentada 2.8% maior.</x:v>
      </x:c>
      <x:c r="Y19" s="154" t="str">
        <x:v>https://poke.idleworld.online/pokepedia/pokemon/dragonair</x:v>
      </x:c>
    </x:row>
    <x:row r="20" ht="48" customHeight="1">
      <x:c r="A20" s="82" t="n">
        <x:f>IF(U20&lt;&gt;"Rankeado","",COUNTIFS($U$5:$U$45,"Rankeado",$I$5:$I$45,"&gt;"&amp;I20)+COUNTIFS($U$5:U20,"Rankeado",$I$5:I20,I20))</x:f>
        <x:v>16</x:v>
      </x:c>
      <x:c r="B20" s="82" t="n">
        <x:f>COUNTIF($I$5:$I$45,"&gt;"&amp;I20)+COUNTIF($I$5:I20,I20)</x:f>
        <x:v>21</x:v>
      </x:c>
      <x:c r="C20" s="82" t="str">
        <x:f>IF(I20&gt;=80,"S+",IF(I20&gt;=72,"S",IF(I20&gt;=65,"A",IF(I20&gt;=58,"B",IF(I20&gt;=50,"C",IF(I20&gt;=42,"D","E"))))))</x:f>
        <x:v>C</x:v>
      </x:c>
      <x:c r="D20" s="82" t="str">
        <x:f>IF(AND(U20="Rankeado",A20&lt;=6),"Sim","Não")</x:f>
        <x:v>Não</x:v>
      </x:c>
      <x:c r="E20" s="82" t="n">
        <x:v>12</x:v>
      </x:c>
      <x:c r="F20" s="80" t="str">
        <x:v>Butterfree</x:v>
      </x:c>
      <x:c r="G20" s="82" t="str">
        <x:v>Inseto / Voador</x:v>
      </x:c>
      <x:c r="H20" s="82" t="str">
        <x:v>Especial</x:v>
      </x:c>
      <x:c r="I20" s="142" t="n">
        <x:f>ROUND(100*(Metodologia!$B$17*(Q20/Metodologia!$B$22)+Metodologia!$B$18*(R20/Metodologia!$B$23)+Metodologia!$B$19*(S20/Metodologia!$B$24)+Metodologia!$B$20*(P20/Metodologia!$B$25)+Metodologia!$B$21*(J20/Metodologia!$B$26)),2)</x:f>
        <x:v>53.62</x:v>
      </x:c>
      <x:c r="J20" s="82" t="n">
        <x:f>SUM(K20:P20)</x:f>
        <x:v>395</x:v>
      </x:c>
      <x:c r="K20" s="82" t="n">
        <x:v>60</x:v>
      </x:c>
      <x:c r="L20" s="82" t="n">
        <x:v>45</x:v>
      </x:c>
      <x:c r="M20" s="82" t="n">
        <x:v>50</x:v>
      </x:c>
      <x:c r="N20" s="82" t="n">
        <x:v>90</x:v>
      </x:c>
      <x:c r="O20" s="82" t="n">
        <x:v>80</x:v>
      </x:c>
      <x:c r="P20" s="82" t="n">
        <x:v>70</x:v>
      </x:c>
      <x:c r="Q20" s="143" t="n">
        <x:f>MAX(L20,N20)*Metodologia!$B$16</x:f>
        <x:v>117</x:v>
      </x:c>
      <x:c r="R20" s="143" t="n">
        <x:f>MIN(L20,N20)*Metodologia!$B$16</x:f>
        <x:v>58.5</x:v>
      </x:c>
      <x:c r="S20" s="143" t="n">
        <x:f>SQRT(K20*AVERAGE(M20,O20)*Metodologia!$B$16)</x:f>
        <x:v>71.20393247567159</x:v>
      </x:c>
      <x:c r="T20" s="82" t="str">
        <x:v>Sim</x:v>
      </x:c>
      <x:c r="U20" s="82" t="str">
        <x:v>Rankeado</x:v>
      </x:c>
      <x:c r="V20" s="82" t="str">
        <x:v>Perfil especial; melhor atributo ofensivo 90, ofensiva secundária 45, robustez relativa 46% e Speed 70. O índice privilegia dano de hunt, sem ignorar sobrevivência.</x:v>
      </x:c>
      <x:c r="W20" s="82" t="str">
        <x:v>Fica atrás de Dragonair principalmente por ofensiva secundária 35.7% menor e robustez sustentada 2.7% menor.</x:v>
      </x:c>
      <x:c r="X20" s="82" t="str">
        <x:v>Fica à frente de Mantine porque possui teto ofensivo 12.5% maior e ofensiva secundária 12.5% maior.</x:v>
      </x:c>
      <x:c r="Y20" s="154" t="str">
        <x:v>https://poke.idleworld.online/pokepedia/pokemon/butterfree</x:v>
      </x:c>
    </x:row>
    <x:row r="21" ht="48" customHeight="1">
      <x:c r="A21" s="82" t="n">
        <x:f>IF(U21&lt;&gt;"Rankeado","",COUNTIFS($U$5:$U$45,"Rankeado",$I$5:$I$45,"&gt;"&amp;I21)+COUNTIFS($U$5:U21,"Rankeado",$I$5:I21,I21))</x:f>
        <x:v>17</x:v>
      </x:c>
      <x:c r="B21" s="82" t="n">
        <x:f>COUNTIF($I$5:$I$45,"&gt;"&amp;I21)+COUNTIF($I$5:I21,I21)</x:f>
        <x:v>22</x:v>
      </x:c>
      <x:c r="C21" s="82" t="str">
        <x:f>IF(I21&gt;=80,"S+",IF(I21&gt;=72,"S",IF(I21&gt;=65,"A",IF(I21&gt;=58,"B",IF(I21&gt;=50,"C",IF(I21&gt;=42,"D","E"))))))</x:f>
        <x:v>C</x:v>
      </x:c>
      <x:c r="D21" s="82" t="str">
        <x:f>IF(AND(U21="Rankeado",A21&lt;=6),"Sim","Não")</x:f>
        <x:v>Não</x:v>
      </x:c>
      <x:c r="E21" s="82" t="n">
        <x:v>226</x:v>
      </x:c>
      <x:c r="F21" s="80" t="str">
        <x:v>Mantine</x:v>
      </x:c>
      <x:c r="G21" s="82" t="str">
        <x:v>Água / Voador</x:v>
      </x:c>
      <x:c r="H21" s="82" t="str">
        <x:v>Especial</x:v>
      </x:c>
      <x:c r="I21" s="142" t="n">
        <x:f>ROUND(100*(Metodologia!$B$17*(Q21/Metodologia!$B$22)+Metodologia!$B$18*(R21/Metodologia!$B$23)+Metodologia!$B$19*(S21/Metodologia!$B$24)+Metodologia!$B$20*(P21/Metodologia!$B$25)+Metodologia!$B$21*(J21/Metodologia!$B$26)),2)</x:f>
        <x:v>53.46</x:v>
      </x:c>
      <x:c r="J21" s="82" t="n">
        <x:f>SUM(K21:P21)</x:f>
        <x:v>485</x:v>
      </x:c>
      <x:c r="K21" s="82" t="n">
        <x:v>85</x:v>
      </x:c>
      <x:c r="L21" s="82" t="n">
        <x:v>40</x:v>
      </x:c>
      <x:c r="M21" s="82" t="n">
        <x:v>70</x:v>
      </x:c>
      <x:c r="N21" s="82" t="n">
        <x:v>80</x:v>
      </x:c>
      <x:c r="O21" s="82" t="n">
        <x:v>140</x:v>
      </x:c>
      <x:c r="P21" s="82" t="n">
        <x:v>70</x:v>
      </x:c>
      <x:c r="Q21" s="143" t="n">
        <x:f>MAX(L21,N21)*Metodologia!$B$16</x:f>
        <x:v>104</x:v>
      </x:c>
      <x:c r="R21" s="143" t="n">
        <x:f>MIN(L21,N21)*Metodologia!$B$16</x:f>
        <x:v>52</x:v>
      </x:c>
      <x:c r="S21" s="143" t="n">
        <x:f>SQRT(K21*AVERAGE(M21,O21)*Metodologia!$B$16)</x:f>
        <x:v>107.71490147607247</x:v>
      </x:c>
      <x:c r="T21" s="82" t="str">
        <x:v>Sim</x:v>
      </x:c>
      <x:c r="U21" s="82" t="str">
        <x:v>Rankeado</x:v>
      </x:c>
      <x:c r="V21" s="82" t="str">
        <x:v>Perfil especial; melhor atributo ofensivo 80, ofensiva secundária 40, robustez relativa 69% e Speed 70. O índice privilegia dano de hunt, sem ignorar sobrevivência.</x:v>
      </x:c>
      <x:c r="W21" s="82" t="str">
        <x:v>Fica atrás de Butterfree principalmente por teto ofensivo 11.1% menor e ofensiva secundária 11.1% menor.</x:v>
      </x:c>
      <x:c r="X21" s="82" t="str">
        <x:v>Fica à frente de Farfetch'd porque possui robustez sustentada 71.3% maior e total de stats 28.6% maior.</x:v>
      </x:c>
      <x:c r="Y21" s="154" t="str">
        <x:v>https://poke.idleworld.online/pokepedia/pokemon/mantine</x:v>
      </x:c>
    </x:row>
    <x:row r="22" ht="48" customHeight="1">
      <x:c r="A22" s="82" t="n">
        <x:f>IF(U22&lt;&gt;"Rankeado","",COUNTIFS($U$5:$U$45,"Rankeado",$I$5:$I$45,"&gt;"&amp;I22)+COUNTIFS($U$5:U22,"Rankeado",$I$5:I22,I22))</x:f>
        <x:v>18</x:v>
      </x:c>
      <x:c r="B22" s="82" t="n">
        <x:f>COUNTIF($I$5:$I$45,"&gt;"&amp;I22)+COUNTIF($I$5:I22,I22)</x:f>
        <x:v>23</x:v>
      </x:c>
      <x:c r="C22" s="82" t="str">
        <x:f>IF(I22&gt;=80,"S+",IF(I22&gt;=72,"S",IF(I22&gt;=65,"A",IF(I22&gt;=58,"B",IF(I22&gt;=50,"C",IF(I22&gt;=42,"D","E"))))))</x:f>
        <x:v>C</x:v>
      </x:c>
      <x:c r="D22" s="82" t="str">
        <x:f>IF(AND(U22="Rankeado",A22&lt;=6),"Sim","Não")</x:f>
        <x:v>Não</x:v>
      </x:c>
      <x:c r="E22" s="82" t="n">
        <x:v>83</x:v>
      </x:c>
      <x:c r="F22" s="80" t="str">
        <x:v>Farfetch'd</x:v>
      </x:c>
      <x:c r="G22" s="82" t="str">
        <x:v>Normal / Voador</x:v>
      </x:c>
      <x:c r="H22" s="82" t="str">
        <x:v>Físico</x:v>
      </x:c>
      <x:c r="I22" s="142" t="n">
        <x:f>ROUND(100*(Metodologia!$B$17*(Q22/Metodologia!$B$22)+Metodologia!$B$18*(R22/Metodologia!$B$23)+Metodologia!$B$19*(S22/Metodologia!$B$24)+Metodologia!$B$20*(P22/Metodologia!$B$25)+Metodologia!$B$21*(J22/Metodologia!$B$26)),2)</x:f>
        <x:v>53.19</x:v>
      </x:c>
      <x:c r="J22" s="82" t="n">
        <x:f>SUM(K22:P22)</x:f>
        <x:v>377</x:v>
      </x:c>
      <x:c r="K22" s="82" t="n">
        <x:v>52</x:v>
      </x:c>
      <x:c r="L22" s="82" t="n">
        <x:v>90</x:v>
      </x:c>
      <x:c r="M22" s="82" t="n">
        <x:v>55</x:v>
      </x:c>
      <x:c r="N22" s="82" t="n">
        <x:v>58</x:v>
      </x:c>
      <x:c r="O22" s="82" t="n">
        <x:v>62</x:v>
      </x:c>
      <x:c r="P22" s="82" t="n">
        <x:v>60</x:v>
      </x:c>
      <x:c r="Q22" s="143" t="n">
        <x:f>MAX(L22,N22)*Metodologia!$B$16</x:f>
        <x:v>117</x:v>
      </x:c>
      <x:c r="R22" s="143" t="n">
        <x:f>MIN(L22,N22)*Metodologia!$B$16</x:f>
        <x:v>75.4</x:v>
      </x:c>
      <x:c r="S22" s="143" t="n">
        <x:f>SQRT(K22*AVERAGE(M22,O22)*Metodologia!$B$16)</x:f>
        <x:v>62.88561043672868</x:v>
      </x:c>
      <x:c r="T22" s="82" t="str">
        <x:v>Sim</x:v>
      </x:c>
      <x:c r="U22" s="82" t="str">
        <x:v>Rankeado</x:v>
      </x:c>
      <x:c r="V22" s="82" t="str">
        <x:v>Perfil físico; melhor atributo ofensivo 90, ofensiva secundária 58, robustez relativa 41% e Speed 60. O índice privilegia dano de hunt, sem ignorar sobrevivência.</x:v>
      </x:c>
      <x:c r="W22" s="82" t="str">
        <x:v>Fica atrás de Mantine principalmente por robustez sustentada 41.6% menor e total de stats 22.3% menor.</x:v>
      </x:c>
      <x:c r="X22" s="82" t="str">
        <x:v>Fica à frente de Skarmory porque possui teto ofensivo 12.5% maior e ofensiva secundária 45.0% maior.</x:v>
      </x:c>
      <x:c r="Y22" s="154" t="str">
        <x:v>https://poke.idleworld.online/pokepedia/pokemon/farfetchd</x:v>
      </x:c>
    </x:row>
    <x:row r="23" ht="48" customHeight="1">
      <x:c r="A23" s="82" t="n">
        <x:f>IF(U23&lt;&gt;"Rankeado","",COUNTIFS($U$5:$U$45,"Rankeado",$I$5:$I$45,"&gt;"&amp;I23)+COUNTIFS($U$5:U23,"Rankeado",$I$5:I23,I23))</x:f>
        <x:v>19</x:v>
      </x:c>
      <x:c r="B23" s="82" t="n">
        <x:f>COUNTIF($I$5:$I$45,"&gt;"&amp;I23)+COUNTIF($I$5:I23,I23)</x:f>
        <x:v>24</x:v>
      </x:c>
      <x:c r="C23" s="82" t="str">
        <x:f>IF(I23&gt;=80,"S+",IF(I23&gt;=72,"S",IF(I23&gt;=65,"A",IF(I23&gt;=58,"B",IF(I23&gt;=50,"C",IF(I23&gt;=42,"D","E"))))))</x:f>
        <x:v>C</x:v>
      </x:c>
      <x:c r="D23" s="82" t="str">
        <x:f>IF(AND(U23="Rankeado",A23&lt;=6),"Sim","Não")</x:f>
        <x:v>Não</x:v>
      </x:c>
      <x:c r="E23" s="82" t="n">
        <x:v>227</x:v>
      </x:c>
      <x:c r="F23" s="80" t="str">
        <x:v>Skarmory</x:v>
      </x:c>
      <x:c r="G23" s="82" t="str">
        <x:v>Aço / Voador</x:v>
      </x:c>
      <x:c r="H23" s="82" t="str">
        <x:v>Físico</x:v>
      </x:c>
      <x:c r="I23" s="142" t="n">
        <x:f>ROUND(100*(Metodologia!$B$17*(Q23/Metodologia!$B$22)+Metodologia!$B$18*(R23/Metodologia!$B$23)+Metodologia!$B$19*(S23/Metodologia!$B$24)+Metodologia!$B$20*(P23/Metodologia!$B$25)+Metodologia!$B$21*(J23/Metodologia!$B$26)),2)</x:f>
        <x:v>52</x:v>
      </x:c>
      <x:c r="J23" s="82" t="n">
        <x:f>SUM(K23:P23)</x:f>
        <x:v>465</x:v>
      </x:c>
      <x:c r="K23" s="82" t="n">
        <x:v>65</x:v>
      </x:c>
      <x:c r="L23" s="82" t="n">
        <x:v>80</x:v>
      </x:c>
      <x:c r="M23" s="82" t="n">
        <x:v>140</x:v>
      </x:c>
      <x:c r="N23" s="82" t="n">
        <x:v>40</x:v>
      </x:c>
      <x:c r="O23" s="82" t="n">
        <x:v>70</x:v>
      </x:c>
      <x:c r="P23" s="82" t="n">
        <x:v>70</x:v>
      </x:c>
      <x:c r="Q23" s="143" t="n">
        <x:f>MAX(L23,N23)*Metodologia!$B$16</x:f>
        <x:v>104</x:v>
      </x:c>
      <x:c r="R23" s="143" t="n">
        <x:f>MIN(L23,N23)*Metodologia!$B$16</x:f>
        <x:v>52</x:v>
      </x:c>
      <x:c r="S23" s="143" t="n">
        <x:f>SQRT(K23*AVERAGE(M23,O23)*Metodologia!$B$16)</x:f>
        <x:v>94.19394885023135</x:v>
      </x:c>
      <x:c r="T23" s="82" t="str">
        <x:v>Sim</x:v>
      </x:c>
      <x:c r="U23" s="82" t="str">
        <x:v>Rankeado</x:v>
      </x:c>
      <x:c r="V23" s="82" t="str">
        <x:v>Perfil físico; melhor atributo ofensivo 80, ofensiva secundária 40, robustez relativa 61% e Speed 70. O índice privilegia dano de hunt, sem ignorar sobrevivência.</x:v>
      </x:c>
      <x:c r="W23" s="82" t="str">
        <x:v>Fica atrás de Farfetch'd principalmente por teto ofensivo 11.1% menor e ofensiva secundária 31.0% menor.</x:v>
      </x:c>
      <x:c r="X23" s="82" t="str">
        <x:v>Fica à frente de Yanma porque possui robustez sustentada 52.8% maior e teto ofensivo 6.7% maior.</x:v>
      </x:c>
      <x:c r="Y23" s="154" t="str">
        <x:v>https://poke.idleworld.online/pokepedia/pokemon/skarmory</x:v>
      </x:c>
    </x:row>
    <x:row r="24" ht="48" customHeight="1">
      <x:c r="A24" s="82" t="n">
        <x:f>IF(U24&lt;&gt;"Rankeado","",COUNTIFS($U$5:$U$45,"Rankeado",$I$5:$I$45,"&gt;"&amp;I24)+COUNTIFS($U$5:U24,"Rankeado",$I$5:I24,I24))</x:f>
        <x:v>20</x:v>
      </x:c>
      <x:c r="B24" s="82" t="n">
        <x:f>COUNTIF($I$5:$I$45,"&gt;"&amp;I24)+COUNTIF($I$5:I24,I24)</x:f>
        <x:v>25</x:v>
      </x:c>
      <x:c r="C24" s="82" t="str">
        <x:f>IF(I24&gt;=80,"S+",IF(I24&gt;=72,"S",IF(I24&gt;=65,"A",IF(I24&gt;=58,"B",IF(I24&gt;=50,"C",IF(I24&gt;=42,"D","E"))))))</x:f>
        <x:v>C</x:v>
      </x:c>
      <x:c r="D24" s="82" t="str">
        <x:f>IF(AND(U24="Rankeado",A24&lt;=6),"Sim","Não")</x:f>
        <x:v>Não</x:v>
      </x:c>
      <x:c r="E24" s="82" t="n">
        <x:v>193</x:v>
      </x:c>
      <x:c r="F24" s="80" t="str">
        <x:v>Yanma</x:v>
      </x:c>
      <x:c r="G24" s="82" t="str">
        <x:v>Inseto / Voador</x:v>
      </x:c>
      <x:c r="H24" s="82" t="str">
        <x:v>Misto</x:v>
      </x:c>
      <x:c r="I24" s="142" t="n">
        <x:f>ROUND(100*(Metodologia!$B$17*(Q24/Metodologia!$B$22)+Metodologia!$B$18*(R24/Metodologia!$B$23)+Metodologia!$B$19*(S24/Metodologia!$B$24)+Metodologia!$B$20*(P24/Metodologia!$B$25)+Metodologia!$B$21*(J24/Metodologia!$B$26)),2)</x:f>
        <x:v>50.3</x:v>
      </x:c>
      <x:c r="J24" s="82" t="n">
        <x:f>SUM(K24:P24)</x:f>
        <x:v>390</x:v>
      </x:c>
      <x:c r="K24" s="82" t="n">
        <x:v>65</x:v>
      </x:c>
      <x:c r="L24" s="82" t="n">
        <x:v>65</x:v>
      </x:c>
      <x:c r="M24" s="82" t="n">
        <x:v>45</x:v>
      </x:c>
      <x:c r="N24" s="82" t="n">
        <x:v>75</x:v>
      </x:c>
      <x:c r="O24" s="82" t="n">
        <x:v>45</x:v>
      </x:c>
      <x:c r="P24" s="82" t="n">
        <x:v>95</x:v>
      </x:c>
      <x:c r="Q24" s="143" t="n">
        <x:f>MAX(L24,N24)*Metodologia!$B$16</x:f>
        <x:v>97.5</x:v>
      </x:c>
      <x:c r="R24" s="143" t="n">
        <x:f>MIN(L24,N24)*Metodologia!$B$16</x:f>
        <x:v>84.5</x:v>
      </x:c>
      <x:c r="S24" s="143" t="n">
        <x:f>SQRT(K24*AVERAGE(M24,O24)*Metodologia!$B$16)</x:f>
        <x:v>61.6644143732834</x:v>
      </x:c>
      <x:c r="T24" s="82" t="str">
        <x:v>Não</x:v>
      </x:c>
      <x:c r="U24" s="82" t="str">
        <x:v>Rankeado</x:v>
      </x:c>
      <x:c r="V24" s="82" t="str">
        <x:v>Perfil misto; melhor atributo ofensivo 75, ofensiva secundária 65, robustez relativa 40% e Speed 95. O índice privilegia dano de hunt, sem ignorar sobrevivência.</x:v>
      </x:c>
      <x:c r="W24" s="82" t="str">
        <x:v>Fica atrás de Skarmory principalmente por robustez sustentada 34.5% menor e teto ofensivo 6.2% menor.</x:v>
      </x:c>
      <x:c r="X24" s="82" t="str">
        <x:v>Fica à frente de Gligar porque possui ofensiva secundária 85.7% maior e velocidade 11.8% maior.</x:v>
      </x:c>
      <x:c r="Y24" s="154" t="str">
        <x:v>https://poke.idleworld.online/pokepedia/pokemon/yanma</x:v>
      </x:c>
    </x:row>
    <x:row r="25" ht="48" customHeight="1">
      <x:c r="A25" s="82" t="n">
        <x:f>IF(U25&lt;&gt;"Rankeado","",COUNTIFS($U$5:$U$45,"Rankeado",$I$5:$I$45,"&gt;"&amp;I25)+COUNTIFS($U$5:U25,"Rankeado",$I$5:I25,I25))</x:f>
        <x:v>21</x:v>
      </x:c>
      <x:c r="B25" s="82" t="n">
        <x:f>COUNTIF($I$5:$I$45,"&gt;"&amp;I25)+COUNTIF($I$5:I25,I25)</x:f>
        <x:v>26</x:v>
      </x:c>
      <x:c r="C25" s="82" t="str">
        <x:f>IF(I25&gt;=80,"S+",IF(I25&gt;=72,"S",IF(I25&gt;=65,"A",IF(I25&gt;=58,"B",IF(I25&gt;=50,"C",IF(I25&gt;=42,"D","E"))))))</x:f>
        <x:v>D</x:v>
      </x:c>
      <x:c r="D25" s="82" t="str">
        <x:f>IF(AND(U25="Rankeado",A25&lt;=6),"Sim","Não")</x:f>
        <x:v>Não</x:v>
      </x:c>
      <x:c r="E25" s="82" t="n">
        <x:v>207</x:v>
      </x:c>
      <x:c r="F25" s="80" t="str">
        <x:v>Gligar</x:v>
      </x:c>
      <x:c r="G25" s="82" t="str">
        <x:v>Terra / Voador</x:v>
      </x:c>
      <x:c r="H25" s="82" t="str">
        <x:v>Físico</x:v>
      </x:c>
      <x:c r="I25" s="142" t="n">
        <x:f>ROUND(100*(Metodologia!$B$17*(Q25/Metodologia!$B$22)+Metodologia!$B$18*(R25/Metodologia!$B$23)+Metodologia!$B$19*(S25/Metodologia!$B$24)+Metodologia!$B$20*(P25/Metodologia!$B$25)+Metodologia!$B$21*(J25/Metodologia!$B$26)),2)</x:f>
        <x:v>49.43</x:v>
      </x:c>
      <x:c r="J25" s="82" t="n">
        <x:f>SUM(K25:P25)</x:f>
        <x:v>430</x:v>
      </x:c>
      <x:c r="K25" s="82" t="n">
        <x:v>65</x:v>
      </x:c>
      <x:c r="L25" s="82" t="n">
        <x:v>75</x:v>
      </x:c>
      <x:c r="M25" s="82" t="n">
        <x:v>105</x:v>
      </x:c>
      <x:c r="N25" s="82" t="n">
        <x:v>35</x:v>
      </x:c>
      <x:c r="O25" s="82" t="n">
        <x:v>65</x:v>
      </x:c>
      <x:c r="P25" s="82" t="n">
        <x:v>85</x:v>
      </x:c>
      <x:c r="Q25" s="143" t="n">
        <x:f>MAX(L25,N25)*Metodologia!$B$16</x:f>
        <x:v>97.5</x:v>
      </x:c>
      <x:c r="R25" s="143" t="n">
        <x:f>MIN(L25,N25)*Metodologia!$B$16</x:f>
        <x:v>45.5</x:v>
      </x:c>
      <x:c r="S25" s="143" t="n">
        <x:f>SQRT(K25*AVERAGE(M25,O25)*Metodologia!$B$16)</x:f>
        <x:v>84.74963126763443</x:v>
      </x:c>
      <x:c r="T25" s="82" t="str">
        <x:v>Sim</x:v>
      </x:c>
      <x:c r="U25" s="82" t="str">
        <x:v>Rankeado</x:v>
      </x:c>
      <x:c r="V25" s="82" t="str">
        <x:v>Perfil físico; melhor atributo ofensivo 75, ofensiva secundária 35, robustez relativa 55% e Speed 85. O índice privilegia dano de hunt, sem ignorar sobrevivência.</x:v>
      </x:c>
      <x:c r="W25" s="82" t="str">
        <x:v>Fica atrás de Yanma principalmente por ofensiva secundária 46.2% menor e velocidade 10.5% menor.</x:v>
      </x:c>
      <x:c r="X25" s="82" t="str">
        <x:v>Fica à frente de Togetic porque possui velocidade 112.5% maior e robustez sustentada 2.8% maior.</x:v>
      </x:c>
      <x:c r="Y25" s="154" t="str">
        <x:v>https://poke.idleworld.online/pokepedia/pokemon/gligar</x:v>
      </x:c>
    </x:row>
    <x:row r="26" ht="48" customHeight="1">
      <x:c r="A26" s="82" t="n">
        <x:f>IF(U26&lt;&gt;"Rankeado","",COUNTIFS($U$5:$U$45,"Rankeado",$I$5:$I$45,"&gt;"&amp;I26)+COUNTIFS($U$5:U26,"Rankeado",$I$5:I26,I26))</x:f>
        <x:v>22</x:v>
      </x:c>
      <x:c r="B26" s="82" t="n">
        <x:f>COUNTIF($I$5:$I$45,"&gt;"&amp;I26)+COUNTIF($I$5:I26,I26)</x:f>
        <x:v>27</x:v>
      </x:c>
      <x:c r="C26" s="82" t="str">
        <x:f>IF(I26&gt;=80,"S+",IF(I26&gt;=72,"S",IF(I26&gt;=65,"A",IF(I26&gt;=58,"B",IF(I26&gt;=50,"C",IF(I26&gt;=42,"D","E"))))))</x:f>
        <x:v>D</x:v>
      </x:c>
      <x:c r="D26" s="82" t="str">
        <x:f>IF(AND(U26="Rankeado",A26&lt;=6),"Sim","Não")</x:f>
        <x:v>Não</x:v>
      </x:c>
      <x:c r="E26" s="82" t="n">
        <x:v>176</x:v>
      </x:c>
      <x:c r="F26" s="80" t="str">
        <x:v>Togetic</x:v>
      </x:c>
      <x:c r="G26" s="82" t="str">
        <x:v>Fada / Voador</x:v>
      </x:c>
      <x:c r="H26" s="82" t="str">
        <x:v>Especial</x:v>
      </x:c>
      <x:c r="I26" s="142" t="n">
        <x:f>ROUND(100*(Metodologia!$B$17*(Q26/Metodologia!$B$22)+Metodologia!$B$18*(R26/Metodologia!$B$23)+Metodologia!$B$19*(S26/Metodologia!$B$24)+Metodologia!$B$20*(P26/Metodologia!$B$25)+Metodologia!$B$21*(J26/Metodologia!$B$26)),2)</x:f>
        <x:v>48.42</x:v>
      </x:c>
      <x:c r="J26" s="82" t="n">
        <x:f>SUM(K26:P26)</x:f>
        <x:v>405</x:v>
      </x:c>
      <x:c r="K26" s="82" t="n">
        <x:v>55</x:v>
      </x:c>
      <x:c r="L26" s="82" t="n">
        <x:v>40</x:v>
      </x:c>
      <x:c r="M26" s="82" t="n">
        <x:v>85</x:v>
      </x:c>
      <x:c r="N26" s="82" t="n">
        <x:v>80</x:v>
      </x:c>
      <x:c r="O26" s="82" t="n">
        <x:v>105</x:v>
      </x:c>
      <x:c r="P26" s="82" t="n">
        <x:v>40</x:v>
      </x:c>
      <x:c r="Q26" s="143" t="n">
        <x:f>MAX(L26,N26)*Metodologia!$B$16</x:f>
        <x:v>104</x:v>
      </x:c>
      <x:c r="R26" s="143" t="n">
        <x:f>MIN(L26,N26)*Metodologia!$B$16</x:f>
        <x:v>52</x:v>
      </x:c>
      <x:c r="S26" s="143" t="n">
        <x:f>SQRT(K26*AVERAGE(M26,O26)*Metodologia!$B$16)</x:f>
        <x:v>82.41662453655816</x:v>
      </x:c>
      <x:c r="T26" s="82" t="str">
        <x:v>Não</x:v>
      </x:c>
      <x:c r="U26" s="82" t="str">
        <x:v>Rankeado</x:v>
      </x:c>
      <x:c r="V26" s="82" t="str">
        <x:v>Perfil especial; melhor atributo ofensivo 80, ofensiva secundária 40, robustez relativa 53% e Speed 40. O índice privilegia dano de hunt, sem ignorar sobrevivência.</x:v>
      </x:c>
      <x:c r="W26" s="82" t="str">
        <x:v>Fica atrás de Gligar principalmente por velocidade 52.9% menor e robustez sustentada 2.8% menor.</x:v>
      </x:c>
      <x:c r="X26" s="82" t="str">
        <x:v>Fica à frente de Doduo porque possui robustez sustentada 93.2% maior e total de stats 30.6% maior.</x:v>
      </x:c>
      <x:c r="Y26" s="154" t="str">
        <x:v>https://poke.idleworld.online/pokepedia/pokemon/togetic</x:v>
      </x:c>
    </x:row>
    <x:row r="27" ht="48" customHeight="1">
      <x:c r="A27" s="82" t="n">
        <x:f>IF(U27&lt;&gt;"Rankeado","",COUNTIFS($U$5:$U$45,"Rankeado",$I$5:$I$45,"&gt;"&amp;I27)+COUNTIFS($U$5:U27,"Rankeado",$I$5:I27,I27))</x:f>
        <x:v>23</x:v>
      </x:c>
      <x:c r="B27" s="82" t="n">
        <x:f>COUNTIF($I$5:$I$45,"&gt;"&amp;I27)+COUNTIF($I$5:I27,I27)</x:f>
        <x:v>28</x:v>
      </x:c>
      <x:c r="C27" s="82" t="str">
        <x:f>IF(I27&gt;=80,"S+",IF(I27&gt;=72,"S",IF(I27&gt;=65,"A",IF(I27&gt;=58,"B",IF(I27&gt;=50,"C",IF(I27&gt;=42,"D","E"))))))</x:f>
        <x:v>D</x:v>
      </x:c>
      <x:c r="D27" s="82" t="str">
        <x:f>IF(AND(U27="Rankeado",A27&lt;=6),"Sim","Não")</x:f>
        <x:v>Não</x:v>
      </x:c>
      <x:c r="E27" s="82" t="n">
        <x:v>84</x:v>
      </x:c>
      <x:c r="F27" s="80" t="str">
        <x:v>Doduo</x:v>
      </x:c>
      <x:c r="G27" s="82" t="str">
        <x:v>Normal / Voador</x:v>
      </x:c>
      <x:c r="H27" s="82" t="str">
        <x:v>Físico</x:v>
      </x:c>
      <x:c r="I27" s="142" t="n">
        <x:f>ROUND(100*(Metodologia!$B$17*(Q27/Metodologia!$B$22)+Metodologia!$B$18*(R27/Metodologia!$B$23)+Metodologia!$B$19*(S27/Metodologia!$B$24)+Metodologia!$B$20*(P27/Metodologia!$B$25)+Metodologia!$B$21*(J27/Metodologia!$B$26)),2)</x:f>
        <x:v>47.71</x:v>
      </x:c>
      <x:c r="J27" s="82" t="n">
        <x:f>SUM(K27:P27)</x:f>
        <x:v>310</x:v>
      </x:c>
      <x:c r="K27" s="82" t="n">
        <x:v>35</x:v>
      </x:c>
      <x:c r="L27" s="82" t="n">
        <x:v>85</x:v>
      </x:c>
      <x:c r="M27" s="82" t="n">
        <x:v>45</x:v>
      </x:c>
      <x:c r="N27" s="82" t="n">
        <x:v>35</x:v>
      </x:c>
      <x:c r="O27" s="82" t="n">
        <x:v>35</x:v>
      </x:c>
      <x:c r="P27" s="82" t="n">
        <x:v>75</x:v>
      </x:c>
      <x:c r="Q27" s="143" t="n">
        <x:f>MAX(L27,N27)*Metodologia!$B$16</x:f>
        <x:v>110.5</x:v>
      </x:c>
      <x:c r="R27" s="143" t="n">
        <x:f>MIN(L27,N27)*Metodologia!$B$16</x:f>
        <x:v>45.5</x:v>
      </x:c>
      <x:c r="S27" s="143" t="n">
        <x:f>SQRT(K27*AVERAGE(M27,O27)*Metodologia!$B$16)</x:f>
        <x:v>42.661458015403085</x:v>
      </x:c>
      <x:c r="T27" s="82" t="str">
        <x:v>Sim</x:v>
      </x:c>
      <x:c r="U27" s="82" t="str">
        <x:v>Rankeado</x:v>
      </x:c>
      <x:c r="V27" s="82" t="str">
        <x:v>Perfil físico; melhor atributo ofensivo 85, ofensiva secundária 35, robustez relativa 28% e Speed 75. O índice privilegia dano de hunt, sem ignorar sobrevivência.</x:v>
      </x:c>
      <x:c r="W27" s="82" t="str">
        <x:v>Fica atrás de Togetic principalmente por robustez sustentada 48.2% menor e total de stats 23.5% menor.</x:v>
      </x:c>
      <x:c r="X27" s="82" t="str">
        <x:v>Fica à frente de Jumpluff porque possui teto ofensivo 54.5% maior.</x:v>
      </x:c>
      <x:c r="Y27" s="154" t="str">
        <x:v>https://poke.idleworld.online/pokepedia/pokemon/doduo</x:v>
      </x:c>
    </x:row>
    <x:row r="28" ht="48" customHeight="1">
      <x:c r="A28" s="82" t="n">
        <x:f>IF(U28&lt;&gt;"Rankeado","",COUNTIFS($U$5:$U$45,"Rankeado",$I$5:$I$45,"&gt;"&amp;I28)+COUNTIFS($U$5:U28,"Rankeado",$I$5:I28,I28))</x:f>
        <x:v>24</x:v>
      </x:c>
      <x:c r="B28" s="82" t="n">
        <x:f>COUNTIF($I$5:$I$45,"&gt;"&amp;I28)+COUNTIF($I$5:I28,I28)</x:f>
        <x:v>29</x:v>
      </x:c>
      <x:c r="C28" s="82" t="str">
        <x:f>IF(I28&gt;=80,"S+",IF(I28&gt;=72,"S",IF(I28&gt;=65,"A",IF(I28&gt;=58,"B",IF(I28&gt;=50,"C",IF(I28&gt;=42,"D","E"))))))</x:f>
        <x:v>D</x:v>
      </x:c>
      <x:c r="D28" s="82" t="str">
        <x:f>IF(AND(U28="Rankeado",A28&lt;=6),"Sim","Não")</x:f>
        <x:v>Não</x:v>
      </x:c>
      <x:c r="E28" s="82" t="n">
        <x:v>189</x:v>
      </x:c>
      <x:c r="F28" s="80" t="str">
        <x:v>Jumpluff</x:v>
      </x:c>
      <x:c r="G28" s="82" t="str">
        <x:v>Planta / Voador</x:v>
      </x:c>
      <x:c r="H28" s="82" t="str">
        <x:v>Misto</x:v>
      </x:c>
      <x:c r="I28" s="142" t="n">
        <x:f>ROUND(100*(Metodologia!$B$17*(Q28/Metodologia!$B$22)+Metodologia!$B$18*(R28/Metodologia!$B$23)+Metodologia!$B$19*(S28/Metodologia!$B$24)+Metodologia!$B$20*(P28/Metodologia!$B$25)+Metodologia!$B$21*(J28/Metodologia!$B$26)),2)</x:f>
        <x:v>45.82</x:v>
      </x:c>
      <x:c r="J28" s="82" t="n">
        <x:f>SUM(K28:P28)</x:f>
        <x:v>460</x:v>
      </x:c>
      <x:c r="K28" s="82" t="n">
        <x:v>75</x:v>
      </x:c>
      <x:c r="L28" s="82" t="n">
        <x:v>55</x:v>
      </x:c>
      <x:c r="M28" s="82" t="n">
        <x:v>70</x:v>
      </x:c>
      <x:c r="N28" s="82" t="n">
        <x:v>55</x:v>
      </x:c>
      <x:c r="O28" s="82" t="n">
        <x:v>95</x:v>
      </x:c>
      <x:c r="P28" s="82" t="n">
        <x:v>110</x:v>
      </x:c>
      <x:c r="Q28" s="143" t="n">
        <x:f>MAX(L28,N28)*Metodologia!$B$16</x:f>
        <x:v>71.5</x:v>
      </x:c>
      <x:c r="R28" s="143" t="n">
        <x:f>MIN(L28,N28)*Metodologia!$B$16</x:f>
        <x:v>71.5</x:v>
      </x:c>
      <x:c r="S28" s="143" t="n">
        <x:f>SQRT(K28*AVERAGE(M28,O28)*Metodologia!$B$16)</x:f>
        <x:v>89.68695557326049</x:v>
      </x:c>
      <x:c r="T28" s="82" t="str">
        <x:v>Não</x:v>
      </x:c>
      <x:c r="U28" s="82" t="str">
        <x:v>Rankeado</x:v>
      </x:c>
      <x:c r="V28" s="82" t="str">
        <x:v>Perfil misto; melhor atributo ofensivo 55, ofensiva secundária 55, robustez relativa 58% e Speed 110. O índice privilegia dano de hunt, sem ignorar sobrevivência.</x:v>
      </x:c>
      <x:c r="W28" s="82" t="str">
        <x:v>Fica atrás de Doduo principalmente por teto ofensivo 35.3% menor.</x:v>
      </x:c>
      <x:c r="X28" s="82" t="str">
        <x:v>Fica à frente de Natu porque possui robustez sustentada 85.4% maior e velocidade 57.1% maior.</x:v>
      </x:c>
      <x:c r="Y28" s="154" t="str">
        <x:v>https://poke.idleworld.online/pokepedia/pokemon/jumpluff</x:v>
      </x:c>
    </x:row>
    <x:row r="29" ht="48" customHeight="1">
      <x:c r="A29" s="82" t="n">
        <x:f>IF(U29&lt;&gt;"Rankeado","",COUNTIFS($U$5:$U$45,"Rankeado",$I$5:$I$45,"&gt;"&amp;I29)+COUNTIFS($U$5:U29,"Rankeado",$I$5:I29,I29))</x:f>
        <x:v>25</x:v>
      </x:c>
      <x:c r="B29" s="82" t="n">
        <x:f>COUNTIF($I$5:$I$45,"&gt;"&amp;I29)+COUNTIF($I$5:I29,I29)</x:f>
        <x:v>30</x:v>
      </x:c>
      <x:c r="C29" s="82" t="str">
        <x:f>IF(I29&gt;=80,"S+",IF(I29&gt;=72,"S",IF(I29&gt;=65,"A",IF(I29&gt;=58,"B",IF(I29&gt;=50,"C",IF(I29&gt;=42,"D","E"))))))</x:f>
        <x:v>D</x:v>
      </x:c>
      <x:c r="D29" s="82" t="str">
        <x:f>IF(AND(U29="Rankeado",A29&lt;=6),"Sim","Não")</x:f>
        <x:v>Não</x:v>
      </x:c>
      <x:c r="E29" s="82" t="n">
        <x:v>177</x:v>
      </x:c>
      <x:c r="F29" s="80" t="str">
        <x:v>Natu</x:v>
      </x:c>
      <x:c r="G29" s="82" t="str">
        <x:v>Psíquico / Voador</x:v>
      </x:c>
      <x:c r="H29" s="82" t="str">
        <x:v>Especial</x:v>
      </x:c>
      <x:c r="I29" s="142" t="n">
        <x:f>ROUND(100*(Metodologia!$B$17*(Q29/Metodologia!$B$22)+Metodologia!$B$18*(R29/Metodologia!$B$23)+Metodologia!$B$19*(S29/Metodologia!$B$24)+Metodologia!$B$20*(P29/Metodologia!$B$25)+Metodologia!$B$21*(J29/Metodologia!$B$26)),2)</x:f>
        <x:v>43.52</x:v>
      </x:c>
      <x:c r="J29" s="82" t="n">
        <x:f>SUM(K29:P29)</x:f>
        <x:v>320</x:v>
      </x:c>
      <x:c r="K29" s="82" t="n">
        <x:v>40</x:v>
      </x:c>
      <x:c r="L29" s="82" t="n">
        <x:v>50</x:v>
      </x:c>
      <x:c r="M29" s="82" t="n">
        <x:v>45</x:v>
      </x:c>
      <x:c r="N29" s="82" t="n">
        <x:v>70</x:v>
      </x:c>
      <x:c r="O29" s="82" t="n">
        <x:v>45</x:v>
      </x:c>
      <x:c r="P29" s="82" t="n">
        <x:v>70</x:v>
      </x:c>
      <x:c r="Q29" s="143" t="n">
        <x:f>MAX(L29,N29)*Metodologia!$B$16</x:f>
        <x:v>91</x:v>
      </x:c>
      <x:c r="R29" s="143" t="n">
        <x:f>MIN(L29,N29)*Metodologia!$B$16</x:f>
        <x:v>65</x:v>
      </x:c>
      <x:c r="S29" s="143" t="n">
        <x:f>SQRT(K29*AVERAGE(M29,O29)*Metodologia!$B$16)</x:f>
        <x:v>48.373546489791295</x:v>
      </x:c>
      <x:c r="T29" s="82" t="str">
        <x:v>Sim</x:v>
      </x:c>
      <x:c r="U29" s="82" t="str">
        <x:v>Rankeado</x:v>
      </x:c>
      <x:c r="V29" s="82" t="str">
        <x:v>Perfil especial; melhor atributo ofensivo 70, ofensiva secundária 50, robustez relativa 31% e Speed 70. O índice privilegia dano de hunt, sem ignorar sobrevivência.</x:v>
      </x:c>
      <x:c r="W29" s="82" t="str">
        <x:v>Fica atrás de Jumpluff principalmente por robustez sustentada 46.1% menor e velocidade 36.4% menor.</x:v>
      </x:c>
      <x:c r="X29" s="82" t="str">
        <x:v>Fica à frente de Delibird porque possui teto ofensivo 7.7% maior.</x:v>
      </x:c>
      <x:c r="Y29" s="154" t="str">
        <x:v>https://poke.idleworld.online/pokepedia/pokemon/natu</x:v>
      </x:c>
    </x:row>
    <x:row r="30" ht="48" customHeight="1">
      <x:c r="A30" s="82" t="n">
        <x:f>IF(U30&lt;&gt;"Rankeado","",COUNTIFS($U$5:$U$45,"Rankeado",$I$5:$I$45,"&gt;"&amp;I30)+COUNTIFS($U$5:U30,"Rankeado",$I$5:I30,I30))</x:f>
        <x:v>26</x:v>
      </x:c>
      <x:c r="B30" s="82" t="n">
        <x:f>COUNTIF($I$5:$I$45,"&gt;"&amp;I30)+COUNTIF($I$5:I30,I30)</x:f>
        <x:v>31</x:v>
      </x:c>
      <x:c r="C30" s="82" t="str">
        <x:f>IF(I30&gt;=80,"S+",IF(I30&gt;=72,"S",IF(I30&gt;=65,"A",IF(I30&gt;=58,"B",IF(I30&gt;=50,"C",IF(I30&gt;=42,"D","E"))))))</x:f>
        <x:v>D</x:v>
      </x:c>
      <x:c r="D30" s="82" t="str">
        <x:f>IF(AND(U30="Rankeado",A30&lt;=6),"Sim","Não")</x:f>
        <x:v>Não</x:v>
      </x:c>
      <x:c r="E30" s="82" t="n">
        <x:v>225</x:v>
      </x:c>
      <x:c r="F30" s="80" t="str">
        <x:v>Delibird</x:v>
      </x:c>
      <x:c r="G30" s="82" t="str">
        <x:v>Gelo / Voador</x:v>
      </x:c>
      <x:c r="H30" s="82" t="str">
        <x:v>Misto</x:v>
      </x:c>
      <x:c r="I30" s="142" t="n">
        <x:f>ROUND(100*(Metodologia!$B$17*(Q30/Metodologia!$B$22)+Metodologia!$B$18*(R30/Metodologia!$B$23)+Metodologia!$B$19*(S30/Metodologia!$B$24)+Metodologia!$B$20*(P30/Metodologia!$B$25)+Metodologia!$B$21*(J30/Metodologia!$B$26)),2)</x:f>
        <x:v>42.72</x:v>
      </x:c>
      <x:c r="J30" s="82" t="n">
        <x:f>SUM(K30:P30)</x:f>
        <x:v>330</x:v>
      </x:c>
      <x:c r="K30" s="82" t="n">
        <x:v>45</x:v>
      </x:c>
      <x:c r="L30" s="82" t="n">
        <x:v>55</x:v>
      </x:c>
      <x:c r="M30" s="82" t="n">
        <x:v>45</x:v>
      </x:c>
      <x:c r="N30" s="82" t="n">
        <x:v>65</x:v>
      </x:c>
      <x:c r="O30" s="82" t="n">
        <x:v>45</x:v>
      </x:c>
      <x:c r="P30" s="82" t="n">
        <x:v>75</x:v>
      </x:c>
      <x:c r="Q30" s="143" t="n">
        <x:f>MAX(L30,N30)*Metodologia!$B$16</x:f>
        <x:v>84.5</x:v>
      </x:c>
      <x:c r="R30" s="143" t="n">
        <x:f>MIN(L30,N30)*Metodologia!$B$16</x:f>
        <x:v>71.5</x:v>
      </x:c>
      <x:c r="S30" s="143" t="n">
        <x:f>SQRT(K30*AVERAGE(M30,O30)*Metodologia!$B$16)</x:f>
        <x:v>51.30789412946121</x:v>
      </x:c>
      <x:c r="T30" s="82" t="str">
        <x:v>Não</x:v>
      </x:c>
      <x:c r="U30" s="82" t="str">
        <x:v>Rankeado</x:v>
      </x:c>
      <x:c r="V30" s="82" t="str">
        <x:v>Perfil misto; melhor atributo ofensivo 65, ofensiva secundária 55, robustez relativa 33% e Speed 75. O índice privilegia dano de hunt, sem ignorar sobrevivência.</x:v>
      </x:c>
      <x:c r="W30" s="82" t="str">
        <x:v>Fica atrás de Natu principalmente por teto ofensivo 7.1% menor.</x:v>
      </x:c>
      <x:c r="X30" s="82" t="str">
        <x:v>Fica à frente de Pidgeotto porque possui teto ofensivo 8.3% maior e ofensiva secundária 10.0% maior.</x:v>
      </x:c>
      <x:c r="Y30" s="154" t="str">
        <x:v>https://poke.idleworld.online/pokepedia/pokemon/delibird</x:v>
      </x:c>
    </x:row>
    <x:row r="31" ht="48" customHeight="1">
      <x:c r="A31" s="82" t="n">
        <x:f>IF(U31&lt;&gt;"Rankeado","",COUNTIFS($U$5:$U$45,"Rankeado",$I$5:$I$45,"&gt;"&amp;I31)+COUNTIFS($U$5:U31,"Rankeado",$I$5:I31,I31))</x:f>
        <x:v>27</x:v>
      </x:c>
      <x:c r="B31" s="82" t="n">
        <x:f>COUNTIF($I$5:$I$45,"&gt;"&amp;I31)+COUNTIF($I$5:I31,I31)</x:f>
        <x:v>32</x:v>
      </x:c>
      <x:c r="C31" s="82" t="str">
        <x:f>IF(I31&gt;=80,"S+",IF(I31&gt;=72,"S",IF(I31&gt;=65,"A",IF(I31&gt;=58,"B",IF(I31&gt;=50,"C",IF(I31&gt;=42,"D","E"))))))</x:f>
        <x:v>E</x:v>
      </x:c>
      <x:c r="D31" s="82" t="str">
        <x:f>IF(AND(U31="Rankeado",A31&lt;=6),"Sim","Não")</x:f>
        <x:v>Não</x:v>
      </x:c>
      <x:c r="E31" s="82" t="n">
        <x:v>17</x:v>
      </x:c>
      <x:c r="F31" s="80" t="str">
        <x:v>Pidgeotto</x:v>
      </x:c>
      <x:c r="G31" s="82" t="str">
        <x:v>Normal / Voador</x:v>
      </x:c>
      <x:c r="H31" s="82" t="str">
        <x:v>Misto</x:v>
      </x:c>
      <x:c r="I31" s="142" t="n">
        <x:f>ROUND(100*(Metodologia!$B$17*(Q31/Metodologia!$B$22)+Metodologia!$B$18*(R31/Metodologia!$B$23)+Metodologia!$B$19*(S31/Metodologia!$B$24)+Metodologia!$B$20*(P31/Metodologia!$B$25)+Metodologia!$B$21*(J31/Metodologia!$B$26)),2)</x:f>
        <x:v>41.57</x:v>
      </x:c>
      <x:c r="J31" s="82" t="n">
        <x:f>SUM(K31:P31)</x:f>
        <x:v>349</x:v>
      </x:c>
      <x:c r="K31" s="82" t="n">
        <x:v>63</x:v>
      </x:c>
      <x:c r="L31" s="82" t="n">
        <x:v>60</x:v>
      </x:c>
      <x:c r="M31" s="82" t="n">
        <x:v>55</x:v>
      </x:c>
      <x:c r="N31" s="82" t="n">
        <x:v>50</x:v>
      </x:c>
      <x:c r="O31" s="82" t="n">
        <x:v>50</x:v>
      </x:c>
      <x:c r="P31" s="82" t="n">
        <x:v>71</x:v>
      </x:c>
      <x:c r="Q31" s="143" t="n">
        <x:f>MAX(L31,N31)*Metodologia!$B$16</x:f>
        <x:v>78</x:v>
      </x:c>
      <x:c r="R31" s="143" t="n">
        <x:f>MIN(L31,N31)*Metodologia!$B$16</x:f>
        <x:v>65</x:v>
      </x:c>
      <x:c r="S31" s="143" t="n">
        <x:f>SQRT(K31*AVERAGE(M31,O31)*Metodologia!$B$16)</x:f>
        <x:v>65.57247898318317</x:v>
      </x:c>
      <x:c r="T31" s="82" t="str">
        <x:v>Sim</x:v>
      </x:c>
      <x:c r="U31" s="82" t="str">
        <x:v>Rankeado</x:v>
      </x:c>
      <x:c r="V31" s="82" t="str">
        <x:v>Perfil misto; melhor atributo ofensivo 60, ofensiva secundária 50, robustez relativa 42% e Speed 71. O índice privilegia dano de hunt, sem ignorar sobrevivência.</x:v>
      </x:c>
      <x:c r="W31" s="82" t="str">
        <x:v>Fica atrás de Delibird principalmente por teto ofensivo 7.7% menor e ofensiva secundária 9.1% menor.</x:v>
      </x:c>
      <x:c r="X31" s="82" t="str">
        <x:v>Fica à frente de Ledian porque possui teto ofensivo 9.1% maior e ofensiva secundária 42.9% maior.</x:v>
      </x:c>
      <x:c r="Y31" s="154" t="str">
        <x:v>https://poke.idleworld.online/pokepedia/pokemon/pidgeotto</x:v>
      </x:c>
    </x:row>
    <x:row r="32" ht="48" customHeight="1">
      <x:c r="A32" s="82" t="n">
        <x:f>IF(U32&lt;&gt;"Rankeado","",COUNTIFS($U$5:$U$45,"Rankeado",$I$5:$I$45,"&gt;"&amp;I32)+COUNTIFS($U$5:U32,"Rankeado",$I$5:I32,I32))</x:f>
        <x:v>28</x:v>
      </x:c>
      <x:c r="B32" s="82" t="n">
        <x:f>COUNTIF($I$5:$I$45,"&gt;"&amp;I32)+COUNTIF($I$5:I32,I32)</x:f>
        <x:v>33</x:v>
      </x:c>
      <x:c r="C32" s="82" t="str">
        <x:f>IF(I32&gt;=80,"S+",IF(I32&gt;=72,"S",IF(I32&gt;=65,"A",IF(I32&gt;=58,"B",IF(I32&gt;=50,"C",IF(I32&gt;=42,"D","E"))))))</x:f>
        <x:v>E</x:v>
      </x:c>
      <x:c r="D32" s="82" t="str">
        <x:f>IF(AND(U32="Rankeado",A32&lt;=6),"Sim","Não")</x:f>
        <x:v>Não</x:v>
      </x:c>
      <x:c r="E32" s="82" t="n">
        <x:v>166</x:v>
      </x:c>
      <x:c r="F32" s="80" t="str">
        <x:v>Ledian</x:v>
      </x:c>
      <x:c r="G32" s="82" t="str">
        <x:v>Inseto / Voador</x:v>
      </x:c>
      <x:c r="H32" s="82" t="str">
        <x:v>Especial</x:v>
      </x:c>
      <x:c r="I32" s="142" t="n">
        <x:f>ROUND(100*(Metodologia!$B$17*(Q32/Metodologia!$B$22)+Metodologia!$B$18*(R32/Metodologia!$B$23)+Metodologia!$B$19*(S32/Metodologia!$B$24)+Metodologia!$B$20*(P32/Metodologia!$B$25)+Metodologia!$B$21*(J32/Metodologia!$B$26)),2)</x:f>
        <x:v>40.46</x:v>
      </x:c>
      <x:c r="J32" s="82" t="n">
        <x:f>SUM(K32:P32)</x:f>
        <x:v>390</x:v>
      </x:c>
      <x:c r="K32" s="82" t="n">
        <x:v>55</x:v>
      </x:c>
      <x:c r="L32" s="82" t="n">
        <x:v>35</x:v>
      </x:c>
      <x:c r="M32" s="82" t="n">
        <x:v>50</x:v>
      </x:c>
      <x:c r="N32" s="82" t="n">
        <x:v>55</x:v>
      </x:c>
      <x:c r="O32" s="82" t="n">
        <x:v>110</x:v>
      </x:c>
      <x:c r="P32" s="82" t="n">
        <x:v>85</x:v>
      </x:c>
      <x:c r="Q32" s="143" t="n">
        <x:f>MAX(L32,N32)*Metodologia!$B$16</x:f>
        <x:v>71.5</x:v>
      </x:c>
      <x:c r="R32" s="143" t="n">
        <x:f>MIN(L32,N32)*Metodologia!$B$16</x:f>
        <x:v>45.5</x:v>
      </x:c>
      <x:c r="S32" s="143" t="n">
        <x:f>SQRT(K32*AVERAGE(M32,O32)*Metodologia!$B$16)</x:f>
        <x:v>75.63068160475615</x:v>
      </x:c>
      <x:c r="T32" s="82" t="str">
        <x:v>Não</x:v>
      </x:c>
      <x:c r="U32" s="82" t="str">
        <x:v>Rankeado</x:v>
      </x:c>
      <x:c r="V32" s="82" t="str">
        <x:v>Perfil especial; melhor atributo ofensivo 55, ofensiva secundária 35, robustez relativa 49% e Speed 85. O índice privilegia dano de hunt, sem ignorar sobrevivência.</x:v>
      </x:c>
      <x:c r="W32" s="82" t="str">
        <x:v>Fica atrás de Pidgeotto principalmente por teto ofensivo 8.3% menor e ofensiva secundária 30.0% menor.</x:v>
      </x:c>
      <x:c r="X32" s="82" t="str">
        <x:v>Fica à frente de Dratini porque possui robustez sustentada 50.3% maior e velocidade 70.0% maior.</x:v>
      </x:c>
      <x:c r="Y32" s="154" t="str">
        <x:v>https://poke.idleworld.online/pokepedia/pokemon/ledian</x:v>
      </x:c>
    </x:row>
    <x:row r="33" ht="48" customHeight="1">
      <x:c r="A33" s="82" t="n">
        <x:f>IF(U33&lt;&gt;"Rankeado","",COUNTIFS($U$5:$U$45,"Rankeado",$I$5:$I$45,"&gt;"&amp;I33)+COUNTIFS($U$5:U33,"Rankeado",$I$5:I33,I33))</x:f>
        <x:v>29</x:v>
      </x:c>
      <x:c r="B33" s="82" t="n">
        <x:f>COUNTIF($I$5:$I$45,"&gt;"&amp;I33)+COUNTIF($I$5:I33,I33)</x:f>
        <x:v>34</x:v>
      </x:c>
      <x:c r="C33" s="82" t="str">
        <x:f>IF(I33&gt;=80,"S+",IF(I33&gt;=72,"S",IF(I33&gt;=65,"A",IF(I33&gt;=58,"B",IF(I33&gt;=50,"C",IF(I33&gt;=42,"D","E"))))))</x:f>
        <x:v>E</x:v>
      </x:c>
      <x:c r="D33" s="82" t="str">
        <x:f>IF(AND(U33="Rankeado",A33&lt;=6),"Sim","Não")</x:f>
        <x:v>Não</x:v>
      </x:c>
      <x:c r="E33" s="82" t="n">
        <x:v>147</x:v>
      </x:c>
      <x:c r="F33" s="80" t="str">
        <x:v>Dratini</x:v>
      </x:c>
      <x:c r="G33" s="82" t="str">
        <x:v>Dragão</x:v>
      </x:c>
      <x:c r="H33" s="82" t="str">
        <x:v>Físico</x:v>
      </x:c>
      <x:c r="I33" s="142" t="n">
        <x:f>ROUND(100*(Metodologia!$B$17*(Q33/Metodologia!$B$22)+Metodologia!$B$18*(R33/Metodologia!$B$23)+Metodologia!$B$19*(S33/Metodologia!$B$24)+Metodologia!$B$20*(P33/Metodologia!$B$25)+Metodologia!$B$21*(J33/Metodologia!$B$26)),2)</x:f>
        <x:v>39.89</x:v>
      </x:c>
      <x:c r="J33" s="82" t="n">
        <x:f>SUM(K33:P33)</x:f>
        <x:v>300</x:v>
      </x:c>
      <x:c r="K33" s="82" t="n">
        <x:v>41</x:v>
      </x:c>
      <x:c r="L33" s="82" t="n">
        <x:v>64</x:v>
      </x:c>
      <x:c r="M33" s="82" t="n">
        <x:v>45</x:v>
      </x:c>
      <x:c r="N33" s="82" t="n">
        <x:v>50</x:v>
      </x:c>
      <x:c r="O33" s="82" t="n">
        <x:v>50</x:v>
      </x:c>
      <x:c r="P33" s="82" t="n">
        <x:v>50</x:v>
      </x:c>
      <x:c r="Q33" s="143" t="n">
        <x:f>MAX(L33,N33)*Metodologia!$B$16</x:f>
        <x:v>83.2</x:v>
      </x:c>
      <x:c r="R33" s="143" t="n">
        <x:f>MIN(L33,N33)*Metodologia!$B$16</x:f>
        <x:v>65</x:v>
      </x:c>
      <x:c r="S33" s="143" t="n">
        <x:f>SQRT(K33*AVERAGE(M33,O33)*Metodologia!$B$16)</x:f>
        <x:v>50.31649828833481</x:v>
      </x:c>
      <x:c r="T33" s="82" t="str">
        <x:v>Sim</x:v>
      </x:c>
      <x:c r="U33" s="82" t="str">
        <x:v>Rankeado</x:v>
      </x:c>
      <x:c r="V33" s="82" t="str">
        <x:v>Perfil físico; melhor atributo ofensivo 64, ofensiva secundária 50, robustez relativa 32% e Speed 50. O índice privilegia dano de hunt, sem ignorar sobrevivência.</x:v>
      </x:c>
      <x:c r="W33" s="82" t="str">
        <x:v>Fica atrás de Ledian principalmente por robustez sustentada 33.5% menor e velocidade 41.2% menor.</x:v>
      </x:c>
      <x:c r="X33" s="82" t="str">
        <x:v>Fica à frente de Spearow porque possui ofensiva secundária 61.3% maior e teto ofensivo 6.7% maior.</x:v>
      </x:c>
      <x:c r="Y33" s="154" t="str">
        <x:v>https://poke.idleworld.online/pokepedia/pokemon/dratini</x:v>
      </x:c>
    </x:row>
    <x:row r="34" ht="48" customHeight="1">
      <x:c r="A34" s="82" t="n">
        <x:f>IF(U34&lt;&gt;"Rankeado","",COUNTIFS($U$5:$U$45,"Rankeado",$I$5:$I$45,"&gt;"&amp;I34)+COUNTIFS($U$5:U34,"Rankeado",$I$5:I34,I34))</x:f>
        <x:v>30</x:v>
      </x:c>
      <x:c r="B34" s="82" t="n">
        <x:f>COUNTIF($I$5:$I$45,"&gt;"&amp;I34)+COUNTIF($I$5:I34,I34)</x:f>
        <x:v>35</x:v>
      </x:c>
      <x:c r="C34" s="82" t="str">
        <x:f>IF(I34&gt;=80,"S+",IF(I34&gt;=72,"S",IF(I34&gt;=65,"A",IF(I34&gt;=58,"B",IF(I34&gt;=50,"C",IF(I34&gt;=42,"D","E"))))))</x:f>
        <x:v>E</x:v>
      </x:c>
      <x:c r="D34" s="82" t="str">
        <x:f>IF(AND(U34="Rankeado",A34&lt;=6),"Sim","Não")</x:f>
        <x:v>Não</x:v>
      </x:c>
      <x:c r="E34" s="82" t="n">
        <x:v>21</x:v>
      </x:c>
      <x:c r="F34" s="80" t="str">
        <x:v>Spearow</x:v>
      </x:c>
      <x:c r="G34" s="82" t="str">
        <x:v>Normal / Voador</x:v>
      </x:c>
      <x:c r="H34" s="82" t="str">
        <x:v>Físico</x:v>
      </x:c>
      <x:c r="I34" s="142" t="n">
        <x:f>ROUND(100*(Metodologia!$B$17*(Q34/Metodologia!$B$22)+Metodologia!$B$18*(R34/Metodologia!$B$23)+Metodologia!$B$19*(S34/Metodologia!$B$24)+Metodologia!$B$20*(P34/Metodologia!$B$25)+Metodologia!$B$21*(J34/Metodologia!$B$26)),2)</x:f>
        <x:v>36.64</x:v>
      </x:c>
      <x:c r="J34" s="82" t="n">
        <x:f>SUM(K34:P34)</x:f>
        <x:v>262</x:v>
      </x:c>
      <x:c r="K34" s="82" t="n">
        <x:v>40</x:v>
      </x:c>
      <x:c r="L34" s="82" t="n">
        <x:v>60</x:v>
      </x:c>
      <x:c r="M34" s="82" t="n">
        <x:v>30</x:v>
      </x:c>
      <x:c r="N34" s="82" t="n">
        <x:v>31</x:v>
      </x:c>
      <x:c r="O34" s="82" t="n">
        <x:v>31</x:v>
      </x:c>
      <x:c r="P34" s="82" t="n">
        <x:v>70</x:v>
      </x:c>
      <x:c r="Q34" s="143" t="n">
        <x:f>MAX(L34,N34)*Metodologia!$B$16</x:f>
        <x:v>78</x:v>
      </x:c>
      <x:c r="R34" s="143" t="n">
        <x:f>MIN(L34,N34)*Metodologia!$B$16</x:f>
        <x:v>40.300000000000004</x:v>
      </x:c>
      <x:c r="S34" s="143" t="n">
        <x:f>SQRT(K34*AVERAGE(M34,O34)*Metodologia!$B$16)</x:f>
        <x:v>39.824615503479755</x:v>
      </x:c>
      <x:c r="T34" s="82" t="str">
        <x:v>Sim</x:v>
      </x:c>
      <x:c r="U34" s="82" t="str">
        <x:v>Rankeado</x:v>
      </x:c>
      <x:c r="V34" s="82" t="str">
        <x:v>Perfil físico; melhor atributo ofensivo 60, ofensiva secundária 31, robustez relativa 26% e Speed 70. O índice privilegia dano de hunt, sem ignorar sobrevivência.</x:v>
      </x:c>
      <x:c r="W34" s="82" t="str">
        <x:v>Fica atrás de Dratini principalmente por ofensiva secundária 38.0% menor e teto ofensivo 6.2% menor.</x:v>
      </x:c>
      <x:c r="X34" s="82" t="str">
        <x:v>Fica à frente de Skiploom porque possui teto ofensivo 33.3% maior.</x:v>
      </x:c>
      <x:c r="Y34" s="154" t="str">
        <x:v>https://poke.idleworld.online/pokepedia/pokemon/spearow</x:v>
      </x:c>
    </x:row>
    <x:row r="35" ht="48" customHeight="1">
      <x:c r="A35" s="82" t="n">
        <x:f>IF(U35&lt;&gt;"Rankeado","",COUNTIFS($U$5:$U$45,"Rankeado",$I$5:$I$45,"&gt;"&amp;I35)+COUNTIFS($U$5:U35,"Rankeado",$I$5:I35,I35))</x:f>
        <x:v>31</x:v>
      </x:c>
      <x:c r="B35" s="82" t="n">
        <x:f>COUNTIF($I$5:$I$45,"&gt;"&amp;I35)+COUNTIF($I$5:I35,I35)</x:f>
        <x:v>36</x:v>
      </x:c>
      <x:c r="C35" s="82" t="str">
        <x:f>IF(I35&gt;=80,"S+",IF(I35&gt;=72,"S",IF(I35&gt;=65,"A",IF(I35&gt;=58,"B",IF(I35&gt;=50,"C",IF(I35&gt;=42,"D","E"))))))</x:f>
        <x:v>E</x:v>
      </x:c>
      <x:c r="D35" s="82" t="str">
        <x:f>IF(AND(U35="Rankeado",A35&lt;=6),"Sim","Não")</x:f>
        <x:v>Não</x:v>
      </x:c>
      <x:c r="E35" s="82" t="n">
        <x:v>188</x:v>
      </x:c>
      <x:c r="F35" s="80" t="str">
        <x:v>Skiploom</x:v>
      </x:c>
      <x:c r="G35" s="82" t="str">
        <x:v>Planta / Voador</x:v>
      </x:c>
      <x:c r="H35" s="82" t="str">
        <x:v>Misto</x:v>
      </x:c>
      <x:c r="I35" s="142" t="n">
        <x:f>ROUND(100*(Metodologia!$B$17*(Q35/Metodologia!$B$22)+Metodologia!$B$18*(R35/Metodologia!$B$23)+Metodologia!$B$19*(S35/Metodologia!$B$24)+Metodologia!$B$20*(P35/Metodologia!$B$25)+Metodologia!$B$21*(J35/Metodologia!$B$26)),2)</x:f>
        <x:v>35.66</x:v>
      </x:c>
      <x:c r="J35" s="82" t="n">
        <x:f>SUM(K35:P35)</x:f>
        <x:v>340</x:v>
      </x:c>
      <x:c r="K35" s="82" t="n">
        <x:v>55</x:v>
      </x:c>
      <x:c r="L35" s="82" t="n">
        <x:v>45</x:v>
      </x:c>
      <x:c r="M35" s="82" t="n">
        <x:v>50</x:v>
      </x:c>
      <x:c r="N35" s="82" t="n">
        <x:v>45</x:v>
      </x:c>
      <x:c r="O35" s="82" t="n">
        <x:v>65</x:v>
      </x:c>
      <x:c r="P35" s="82" t="n">
        <x:v>80</x:v>
      </x:c>
      <x:c r="Q35" s="143" t="n">
        <x:f>MAX(L35,N35)*Metodologia!$B$16</x:f>
        <x:v>58.5</x:v>
      </x:c>
      <x:c r="R35" s="143" t="n">
        <x:f>MIN(L35,N35)*Metodologia!$B$16</x:f>
        <x:v>58.5</x:v>
      </x:c>
      <x:c r="S35" s="143" t="n">
        <x:f>SQRT(K35*AVERAGE(M35,O35)*Metodologia!$B$16)</x:f>
        <x:v>64.1190299365173</x:v>
      </x:c>
      <x:c r="T35" s="82" t="str">
        <x:v>Não</x:v>
      </x:c>
      <x:c r="U35" s="82" t="str">
        <x:v>Rankeado</x:v>
      </x:c>
      <x:c r="V35" s="82" t="str">
        <x:v>Perfil misto; melhor atributo ofensivo 45, ofensiva secundária 45, robustez relativa 41% e Speed 80. O índice privilegia dano de hunt, sem ignorar sobrevivência.</x:v>
      </x:c>
      <x:c r="W35" s="82" t="str">
        <x:v>Fica atrás de Spearow principalmente por teto ofensivo 25.0% menor.</x:v>
      </x:c>
      <x:c r="X35" s="82" t="str">
        <x:v>Fica à frente de Pidgey porque possui robustez sustentada 45.2% maior e velocidade 42.9% maior.</x:v>
      </x:c>
      <x:c r="Y35" s="154" t="str">
        <x:v>https://poke.idleworld.online/pokepedia/pokemon/skiploom</x:v>
      </x:c>
    </x:row>
    <x:row r="36" ht="48" customHeight="1">
      <x:c r="A36" s="82" t="n">
        <x:f>IF(U36&lt;&gt;"Rankeado","",COUNTIFS($U$5:$U$45,"Rankeado",$I$5:$I$45,"&gt;"&amp;I36)+COUNTIFS($U$5:U36,"Rankeado",$I$5:I36,I36))</x:f>
        <x:v>32</x:v>
      </x:c>
      <x:c r="B36" s="82" t="n">
        <x:f>COUNTIF($I$5:$I$45,"&gt;"&amp;I36)+COUNTIF($I$5:I36,I36)</x:f>
        <x:v>37</x:v>
      </x:c>
      <x:c r="C36" s="82" t="str">
        <x:f>IF(I36&gt;=80,"S+",IF(I36&gt;=72,"S",IF(I36&gt;=65,"A",IF(I36&gt;=58,"B",IF(I36&gt;=50,"C",IF(I36&gt;=42,"D","E"))))))</x:f>
        <x:v>E</x:v>
      </x:c>
      <x:c r="D36" s="82" t="str">
        <x:f>IF(AND(U36="Rankeado",A36&lt;=6),"Sim","Não")</x:f>
        <x:v>Não</x:v>
      </x:c>
      <x:c r="E36" s="82" t="n">
        <x:v>16</x:v>
      </x:c>
      <x:c r="F36" s="80" t="str">
        <x:v>Pidgey</x:v>
      </x:c>
      <x:c r="G36" s="82" t="str">
        <x:v>Normal / Voador</x:v>
      </x:c>
      <x:c r="H36" s="82" t="str">
        <x:v>Misto</x:v>
      </x:c>
      <x:c r="I36" s="142" t="n">
        <x:f>ROUND(100*(Metodologia!$B$17*(Q36/Metodologia!$B$22)+Metodologia!$B$18*(R36/Metodologia!$B$23)+Metodologia!$B$19*(S36/Metodologia!$B$24)+Metodologia!$B$20*(P36/Metodologia!$B$25)+Metodologia!$B$21*(J36/Metodologia!$B$26)),2)</x:f>
        <x:v>30.57</x:v>
      </x:c>
      <x:c r="J36" s="82" t="n">
        <x:f>SUM(K36:P36)</x:f>
        <x:v>251</x:v>
      </x:c>
      <x:c r="K36" s="82" t="n">
        <x:v>40</x:v>
      </x:c>
      <x:c r="L36" s="82" t="n">
        <x:v>45</x:v>
      </x:c>
      <x:c r="M36" s="82" t="n">
        <x:v>40</x:v>
      </x:c>
      <x:c r="N36" s="82" t="n">
        <x:v>35</x:v>
      </x:c>
      <x:c r="O36" s="82" t="n">
        <x:v>35</x:v>
      </x:c>
      <x:c r="P36" s="82" t="n">
        <x:v>56</x:v>
      </x:c>
      <x:c r="Q36" s="143" t="n">
        <x:f>MAX(L36,N36)*Metodologia!$B$16</x:f>
        <x:v>58.5</x:v>
      </x:c>
      <x:c r="R36" s="143" t="n">
        <x:f>MIN(L36,N36)*Metodologia!$B$16</x:f>
        <x:v>45.5</x:v>
      </x:c>
      <x:c r="S36" s="143" t="n">
        <x:f>SQRT(K36*AVERAGE(M36,O36)*Metodologia!$B$16)</x:f>
        <x:v>44.15880433163923</x:v>
      </x:c>
      <x:c r="T36" s="82" t="str">
        <x:v>Sim</x:v>
      </x:c>
      <x:c r="U36" s="82" t="str">
        <x:v>Rankeado</x:v>
      </x:c>
      <x:c r="V36" s="82" t="str">
        <x:v>Perfil misto; melhor atributo ofensivo 45, ofensiva secundária 35, robustez relativa 28% e Speed 56. O índice privilegia dano de hunt, sem ignorar sobrevivência.</x:v>
      </x:c>
      <x:c r="W36" s="82" t="str">
        <x:v>Fica atrás de Skiploom principalmente por robustez sustentada 31.1% menor e velocidade 30.0% menor.</x:v>
      </x:c>
      <x:c r="X36" s="82" t="str">
        <x:v>Fica à frente de Zubat porque possui ofensiva secundária 16.7% maior e velocidade 1.8% maior.</x:v>
      </x:c>
      <x:c r="Y36" s="154" t="str">
        <x:v>https://poke.idleworld.online/pokepedia/pokemon/pidgey</x:v>
      </x:c>
    </x:row>
    <x:row r="37" ht="48" customHeight="1">
      <x:c r="A37" s="82" t="n">
        <x:f>IF(U37&lt;&gt;"Rankeado","",COUNTIFS($U$5:$U$45,"Rankeado",$I$5:$I$45,"&gt;"&amp;I37)+COUNTIFS($U$5:U37,"Rankeado",$I$5:I37,I37))</x:f>
        <x:v>33</x:v>
      </x:c>
      <x:c r="B37" s="82" t="n">
        <x:f>COUNTIF($I$5:$I$45,"&gt;"&amp;I37)+COUNTIF($I$5:I37,I37)</x:f>
        <x:v>38</x:v>
      </x:c>
      <x:c r="C37" s="82" t="str">
        <x:f>IF(I37&gt;=80,"S+",IF(I37&gt;=72,"S",IF(I37&gt;=65,"A",IF(I37&gt;=58,"B",IF(I37&gt;=50,"C",IF(I37&gt;=42,"D","E"))))))</x:f>
        <x:v>E</x:v>
      </x:c>
      <x:c r="D37" s="82" t="str">
        <x:f>IF(AND(U37="Rankeado",A37&lt;=6),"Sim","Não")</x:f>
        <x:v>Não</x:v>
      </x:c>
      <x:c r="E37" s="82" t="n">
        <x:v>41</x:v>
      </x:c>
      <x:c r="F37" s="80" t="str">
        <x:v>Zubat</x:v>
      </x:c>
      <x:c r="G37" s="82" t="str">
        <x:v>Veneno / Voador</x:v>
      </x:c>
      <x:c r="H37" s="82" t="str">
        <x:v>Físico</x:v>
      </x:c>
      <x:c r="I37" s="142" t="n">
        <x:f>ROUND(100*(Metodologia!$B$17*(Q37/Metodologia!$B$22)+Metodologia!$B$18*(R37/Metodologia!$B$23)+Metodologia!$B$19*(S37/Metodologia!$B$24)+Metodologia!$B$20*(P37/Metodologia!$B$25)+Metodologia!$B$21*(J37/Metodologia!$B$26)),2)</x:f>
        <x:v>30</x:v>
      </x:c>
      <x:c r="J37" s="82" t="n">
        <x:f>SUM(K37:P37)</x:f>
        <x:v>245</x:v>
      </x:c>
      <x:c r="K37" s="82" t="n">
        <x:v>40</x:v>
      </x:c>
      <x:c r="L37" s="82" t="n">
        <x:v>45</x:v>
      </x:c>
      <x:c r="M37" s="82" t="n">
        <x:v>35</x:v>
      </x:c>
      <x:c r="N37" s="82" t="n">
        <x:v>30</x:v>
      </x:c>
      <x:c r="O37" s="82" t="n">
        <x:v>40</x:v>
      </x:c>
      <x:c r="P37" s="82" t="n">
        <x:v>55</x:v>
      </x:c>
      <x:c r="Q37" s="143" t="n">
        <x:f>MAX(L37,N37)*Metodologia!$B$16</x:f>
        <x:v>58.5</x:v>
      </x:c>
      <x:c r="R37" s="143" t="n">
        <x:f>MIN(L37,N37)*Metodologia!$B$16</x:f>
        <x:v>39</x:v>
      </x:c>
      <x:c r="S37" s="143" t="n">
        <x:f>SQRT(K37*AVERAGE(M37,O37)*Metodologia!$B$16)</x:f>
        <x:v>44.15880433163923</x:v>
      </x:c>
      <x:c r="T37" s="82" t="str">
        <x:v>Sim</x:v>
      </x:c>
      <x:c r="U37" s="82" t="str">
        <x:v>Rankeado</x:v>
      </x:c>
      <x:c r="V37" s="82" t="str">
        <x:v>Perfil físico; melhor atributo ofensivo 45, ofensiva secundária 30, robustez relativa 28% e Speed 55. O índice privilegia dano de hunt, sem ignorar sobrevivência.</x:v>
      </x:c>
      <x:c r="W37" s="82" t="str">
        <x:v>Fica atrás de Pidgey principalmente por ofensiva secundária 14.3% menor e velocidade 1.8% menor.</x:v>
      </x:c>
      <x:c r="X37" s="82" t="str">
        <x:v>Fica à frente de Ledyba porque possui teto ofensivo 12.5% maior e ofensiva secundária 50.0% maior.</x:v>
      </x:c>
      <x:c r="Y37" s="154" t="str">
        <x:v>https://poke.idleworld.online/pokepedia/pokemon/zubat</x:v>
      </x:c>
    </x:row>
    <x:row r="38" ht="48" customHeight="1">
      <x:c r="A38" s="82" t="n">
        <x:f>IF(U38&lt;&gt;"Rankeado","",COUNTIFS($U$5:$U$45,"Rankeado",$I$5:$I$45,"&gt;"&amp;I38)+COUNTIFS($U$5:U38,"Rankeado",$I$5:I38,I38))</x:f>
        <x:v>34</x:v>
      </x:c>
      <x:c r="B38" s="82" t="n">
        <x:f>COUNTIF($I$5:$I$45,"&gt;"&amp;I38)+COUNTIF($I$5:I38,I38)</x:f>
        <x:v>39</x:v>
      </x:c>
      <x:c r="C38" s="82" t="str">
        <x:f>IF(I38&gt;=80,"S+",IF(I38&gt;=72,"S",IF(I38&gt;=65,"A",IF(I38&gt;=58,"B",IF(I38&gt;=50,"C",IF(I38&gt;=42,"D","E"))))))</x:f>
        <x:v>E</x:v>
      </x:c>
      <x:c r="D38" s="82" t="str">
        <x:f>IF(AND(U38="Rankeado",A38&lt;=6),"Sim","Não")</x:f>
        <x:v>Não</x:v>
      </x:c>
      <x:c r="E38" s="82" t="n">
        <x:v>165</x:v>
      </x:c>
      <x:c r="F38" s="80" t="str">
        <x:v>Ledyba</x:v>
      </x:c>
      <x:c r="G38" s="82" t="str">
        <x:v>Inseto / Voador</x:v>
      </x:c>
      <x:c r="H38" s="82" t="str">
        <x:v>Especial</x:v>
      </x:c>
      <x:c r="I38" s="142" t="n">
        <x:f>ROUND(100*(Metodologia!$B$17*(Q38/Metodologia!$B$22)+Metodologia!$B$18*(R38/Metodologia!$B$23)+Metodologia!$B$19*(S38/Metodologia!$B$24)+Metodologia!$B$20*(P38/Metodologia!$B$25)+Metodologia!$B$21*(J38/Metodologia!$B$26)),2)</x:f>
        <x:v>28.19</x:v>
      </x:c>
      <x:c r="J38" s="82" t="n">
        <x:f>SUM(K38:P38)</x:f>
        <x:v>265</x:v>
      </x:c>
      <x:c r="K38" s="82" t="n">
        <x:v>40</x:v>
      </x:c>
      <x:c r="L38" s="82" t="n">
        <x:v>20</x:v>
      </x:c>
      <x:c r="M38" s="82" t="n">
        <x:v>30</x:v>
      </x:c>
      <x:c r="N38" s="82" t="n">
        <x:v>40</x:v>
      </x:c>
      <x:c r="O38" s="82" t="n">
        <x:v>80</x:v>
      </x:c>
      <x:c r="P38" s="82" t="n">
        <x:v>55</x:v>
      </x:c>
      <x:c r="Q38" s="143" t="n">
        <x:f>MAX(L38,N38)*Metodologia!$B$16</x:f>
        <x:v>52</x:v>
      </x:c>
      <x:c r="R38" s="143" t="n">
        <x:f>MIN(L38,N38)*Metodologia!$B$16</x:f>
        <x:v>26</x:v>
      </x:c>
      <x:c r="S38" s="143" t="n">
        <x:f>SQRT(K38*AVERAGE(M38,O38)*Metodologia!$B$16)</x:f>
        <x:v>53.47896782848375</x:v>
      </x:c>
      <x:c r="T38" s="82" t="str">
        <x:v>Não</x:v>
      </x:c>
      <x:c r="U38" s="82" t="str">
        <x:v>Rankeado</x:v>
      </x:c>
      <x:c r="V38" s="82" t="str">
        <x:v>Perfil especial; melhor atributo ofensivo 40, ofensiva secundária 20, robustez relativa 34% e Speed 55. O índice privilegia dano de hunt, sem ignorar sobrevivência.</x:v>
      </x:c>
      <x:c r="W38" s="82" t="str">
        <x:v>Fica atrás de Zubat principalmente por teto ofensivo 11.1% menor e ofensiva secundária 33.3% menor.</x:v>
      </x:c>
      <x:c r="X38" s="82" t="str">
        <x:v>Fica à frente de Hoothoot porque possui teto ofensivo 11.1% maior e velocidade 10.0% maior.</x:v>
      </x:c>
      <x:c r="Y38" s="154" t="str">
        <x:v>https://poke.idleworld.online/pokepedia/pokemon/ledyba</x:v>
      </x:c>
    </x:row>
    <x:row r="39" ht="48" customHeight="1">
      <x:c r="A39" s="82" t="n">
        <x:f>IF(U39&lt;&gt;"Rankeado","",COUNTIFS($U$5:$U$45,"Rankeado",$I$5:$I$45,"&gt;"&amp;I39)+COUNTIFS($U$5:U39,"Rankeado",$I$5:I39,I39))</x:f>
        <x:v>35</x:v>
      </x:c>
      <x:c r="B39" s="82" t="n">
        <x:f>COUNTIF($I$5:$I$45,"&gt;"&amp;I39)+COUNTIF($I$5:I39,I39)</x:f>
        <x:v>40</x:v>
      </x:c>
      <x:c r="C39" s="82" t="str">
        <x:f>IF(I39&gt;=80,"S+",IF(I39&gt;=72,"S",IF(I39&gt;=65,"A",IF(I39&gt;=58,"B",IF(I39&gt;=50,"C",IF(I39&gt;=42,"D","E"))))))</x:f>
        <x:v>E</x:v>
      </x:c>
      <x:c r="D39" s="82" t="str">
        <x:f>IF(AND(U39="Rankeado",A39&lt;=6),"Sim","Não")</x:f>
        <x:v>Não</x:v>
      </x:c>
      <x:c r="E39" s="82" t="n">
        <x:v>163</x:v>
      </x:c>
      <x:c r="F39" s="80" t="str">
        <x:v>Hoothoot</x:v>
      </x:c>
      <x:c r="G39" s="82" t="str">
        <x:v>Normal / Voador</x:v>
      </x:c>
      <x:c r="H39" s="82" t="str">
        <x:v>Misto</x:v>
      </x:c>
      <x:c r="I39" s="142" t="n">
        <x:f>ROUND(100*(Metodologia!$B$17*(Q39/Metodologia!$B$22)+Metodologia!$B$18*(R39/Metodologia!$B$23)+Metodologia!$B$19*(S39/Metodologia!$B$24)+Metodologia!$B$20*(P39/Metodologia!$B$25)+Metodologia!$B$21*(J39/Metodologia!$B$26)),2)</x:f>
        <x:v>27.62</x:v>
      </x:c>
      <x:c r="J39" s="82" t="n">
        <x:f>SUM(K39:P39)</x:f>
        <x:v>262</x:v>
      </x:c>
      <x:c r="K39" s="82" t="n">
        <x:v>60</x:v>
      </x:c>
      <x:c r="L39" s="82" t="n">
        <x:v>30</x:v>
      </x:c>
      <x:c r="M39" s="82" t="n">
        <x:v>30</x:v>
      </x:c>
      <x:c r="N39" s="82" t="n">
        <x:v>36</x:v>
      </x:c>
      <x:c r="O39" s="82" t="n">
        <x:v>56</x:v>
      </x:c>
      <x:c r="P39" s="82" t="n">
        <x:v>50</x:v>
      </x:c>
      <x:c r="Q39" s="143" t="n">
        <x:f>MAX(L39,N39)*Metodologia!$B$16</x:f>
        <x:v>46.800000000000004</x:v>
      </x:c>
      <x:c r="R39" s="143" t="n">
        <x:f>MIN(L39,N39)*Metodologia!$B$16</x:f>
        <x:v>39</x:v>
      </x:c>
      <x:c r="S39" s="143" t="n">
        <x:f>SQRT(K39*AVERAGE(M39,O39)*Metodologia!$B$16)</x:f>
        <x:v>57.91372894228103</x:v>
      </x:c>
      <x:c r="T39" s="82" t="str">
        <x:v>Não</x:v>
      </x:c>
      <x:c r="U39" s="82" t="str">
        <x:v>Rankeado</x:v>
      </x:c>
      <x:c r="V39" s="82" t="str">
        <x:v>Perfil misto; melhor atributo ofensivo 36, ofensiva secundária 30, robustez relativa 37% e Speed 50. O índice privilegia dano de hunt, sem ignorar sobrevivência.</x:v>
      </x:c>
      <x:c r="W39" s="82" t="str">
        <x:v>Fica atrás de Ledyba principalmente por teto ofensivo 10.0% menor e velocidade 9.1% menor.</x:v>
      </x:c>
      <x:c r="X39" s="82" t="str">
        <x:v>Fica à frente de Hoppip porque possui robustez sustentada 24.6% maior e teto ofensivo 2.9% maior.</x:v>
      </x:c>
      <x:c r="Y39" s="154" t="str">
        <x:v>https://poke.idleworld.online/pokepedia/pokemon/hoothoot</x:v>
      </x:c>
    </x:row>
    <x:row r="40" ht="48" customHeight="1">
      <x:c r="A40" s="82" t="n">
        <x:f>IF(U40&lt;&gt;"Rankeado","",COUNTIFS($U$5:$U$45,"Rankeado",$I$5:$I$45,"&gt;"&amp;I40)+COUNTIFS($U$5:U40,"Rankeado",$I$5:I40,I40))</x:f>
        <x:v>36</x:v>
      </x:c>
      <x:c r="B40" s="82" t="n">
        <x:f>COUNTIF($I$5:$I$45,"&gt;"&amp;I40)+COUNTIF($I$5:I40,I40)</x:f>
        <x:v>41</x:v>
      </x:c>
      <x:c r="C40" s="82" t="str">
        <x:f>IF(I40&gt;=80,"S+",IF(I40&gt;=72,"S",IF(I40&gt;=65,"A",IF(I40&gt;=58,"B",IF(I40&gt;=50,"C",IF(I40&gt;=42,"D","E"))))))</x:f>
        <x:v>E</x:v>
      </x:c>
      <x:c r="D40" s="82" t="str">
        <x:f>IF(AND(U40="Rankeado",A40&lt;=6),"Sim","Não")</x:f>
        <x:v>Não</x:v>
      </x:c>
      <x:c r="E40" s="82" t="n">
        <x:v>187</x:v>
      </x:c>
      <x:c r="F40" s="80" t="str">
        <x:v>Hoppip</x:v>
      </x:c>
      <x:c r="G40" s="82" t="str">
        <x:v>Planta / Voador</x:v>
      </x:c>
      <x:c r="H40" s="82" t="str">
        <x:v>Misto</x:v>
      </x:c>
      <x:c r="I40" s="142" t="n">
        <x:f>ROUND(100*(Metodologia!$B$17*(Q40/Metodologia!$B$22)+Metodologia!$B$18*(R40/Metodologia!$B$23)+Metodologia!$B$19*(S40/Metodologia!$B$24)+Metodologia!$B$20*(P40/Metodologia!$B$25)+Metodologia!$B$21*(J40/Metodologia!$B$26)),2)</x:f>
        <x:v>26.49</x:v>
      </x:c>
      <x:c r="J40" s="82" t="n">
        <x:f>SUM(K40:P40)</x:f>
        <x:v>250</x:v>
      </x:c>
      <x:c r="K40" s="82" t="n">
        <x:v>35</x:v>
      </x:c>
      <x:c r="L40" s="82" t="n">
        <x:v>35</x:v>
      </x:c>
      <x:c r="M40" s="82" t="n">
        <x:v>40</x:v>
      </x:c>
      <x:c r="N40" s="82" t="n">
        <x:v>35</x:v>
      </x:c>
      <x:c r="O40" s="82" t="n">
        <x:v>55</x:v>
      </x:c>
      <x:c r="P40" s="82" t="n">
        <x:v>50</x:v>
      </x:c>
      <x:c r="Q40" s="143" t="n">
        <x:f>MAX(L40,N40)*Metodologia!$B$16</x:f>
        <x:v>45.5</x:v>
      </x:c>
      <x:c r="R40" s="143" t="n">
        <x:f>MIN(L40,N40)*Metodologia!$B$16</x:f>
        <x:v>45.5</x:v>
      </x:c>
      <x:c r="S40" s="143" t="n">
        <x:f>SQRT(K40*AVERAGE(M40,O40)*Metodologia!$B$16)</x:f>
        <x:v>46.489246068311324</x:v>
      </x:c>
      <x:c r="T40" s="82" t="str">
        <x:v>Não</x:v>
      </x:c>
      <x:c r="U40" s="82" t="str">
        <x:v>Rankeado</x:v>
      </x:c>
      <x:c r="V40" s="82" t="str">
        <x:v>Perfil misto; melhor atributo ofensivo 35, ofensiva secundária 35, robustez relativa 30% e Speed 50. O índice privilegia dano de hunt, sem ignorar sobrevivência.</x:v>
      </x:c>
      <x:c r="W40" s="82" t="str">
        <x:v>Fica atrás de Hoothoot principalmente por robustez sustentada 19.7% menor e teto ofensivo 2.8% menor.</x:v>
      </x:c>
      <x:c r="X40" s="82" t="str">
        <x:v>É o último utilizável deste clã.</x:v>
      </x:c>
      <x:c r="Y40" s="154" t="str">
        <x:v>https://poke.idleworld.online/pokepedia/pokemon/hoppip</x:v>
      </x:c>
    </x:row>
    <x:row r="41" ht="48" customHeight="1">
      <x:c r="A41" s="82" t="str">
        <x:f>IF(U41&lt;&gt;"Rankeado","",COUNTIFS($U$5:$U$45,"Rankeado",$I$5:$I$45,"&gt;"&amp;I41)+COUNTIFS($U$5:U41,"Rankeado",$I$5:I41,I41))</x:f>
      </x:c>
      <x:c r="B41" s="82" t="n">
        <x:f>COUNTIF($I$5:$I$45,"&gt;"&amp;I41)+COUNTIF($I$5:I41,I41)</x:f>
        <x:v>1</x:v>
      </x:c>
      <x:c r="C41" s="82" t="str">
        <x:f>IF(I41&gt;=80,"S+",IF(I41&gt;=72,"S",IF(I41&gt;=65,"A",IF(I41&gt;=58,"B",IF(I41&gt;=50,"C",IF(I41&gt;=42,"D","E"))))))</x:f>
        <x:v>S+</x:v>
      </x:c>
      <x:c r="D41" s="82" t="str">
        <x:f>IF(AND(U41="Rankeado",A41&lt;=6),"Sim","Não")</x:f>
        <x:v>Não</x:v>
      </x:c>
      <x:c r="E41" s="82" t="n">
        <x:v>250</x:v>
      </x:c>
      <x:c r="F41" s="80" t="str">
        <x:v>Ho-Oh</x:v>
      </x:c>
      <x:c r="G41" s="82" t="str">
        <x:v>Fogo / Voador</x:v>
      </x:c>
      <x:c r="H41" s="82" t="str">
        <x:v>Físico</x:v>
      </x:c>
      <x:c r="I41" s="142" t="n">
        <x:f>ROUND(100*(Metodologia!$B$17*(Q41/Metodologia!$B$22)+Metodologia!$B$18*(R41/Metodologia!$B$23)+Metodologia!$B$19*(S41/Metodologia!$B$24)+Metodologia!$B$20*(P41/Metodologia!$B$25)+Metodologia!$B$21*(J41/Metodologia!$B$26)),2)</x:f>
        <x:v>84.19</x:v>
      </x:c>
      <x:c r="J41" s="82" t="n">
        <x:f>SUM(K41:P41)</x:f>
        <x:v>680</x:v>
      </x:c>
      <x:c r="K41" s="82" t="n">
        <x:v>106</x:v>
      </x:c>
      <x:c r="L41" s="82" t="n">
        <x:v>130</x:v>
      </x:c>
      <x:c r="M41" s="82" t="n">
        <x:v>90</x:v>
      </x:c>
      <x:c r="N41" s="82" t="n">
        <x:v>110</x:v>
      </x:c>
      <x:c r="O41" s="82" t="n">
        <x:v>154</x:v>
      </x:c>
      <x:c r="P41" s="82" t="n">
        <x:v>90</x:v>
      </x:c>
      <x:c r="Q41" s="143" t="n">
        <x:f>MAX(L41,N41)*Metodologia!$B$16</x:f>
        <x:v>169</x:v>
      </x:c>
      <x:c r="R41" s="143" t="n">
        <x:f>MIN(L41,N41)*Metodologia!$B$16</x:f>
        <x:v>143</x:v>
      </x:c>
      <x:c r="S41" s="143" t="n">
        <x:f>SQRT(K41*AVERAGE(M41,O41)*Metodologia!$B$16)</x:f>
        <x:v>129.6595542179596</x:v>
      </x:c>
      <x:c r="T41" s="82" t="str">
        <x:v>Não</x:v>
      </x:c>
      <x:c r="U41" s="82" t="str">
        <x:v>Excluído — lendário/mítico</x:v>
      </x:c>
      <x:c r="V41" s="82" t="str">
        <x:v>Espécie lendária/mítica: mantida na auditoria, mas fora do time utilizável solicitado.</x:v>
      </x:c>
      <x:c r="W41" s="82" t="str"/>
      <x:c r="X41" s="82" t="str"/>
      <x:c r="Y41" s="154" t="str">
        <x:v>https://poke.idleworld.online/pokepedia/pokemon/ho-oh</x:v>
      </x:c>
    </x:row>
    <x:row r="42" ht="48" customHeight="1">
      <x:c r="A42" s="82" t="str">
        <x:f>IF(U42&lt;&gt;"Rankeado","",COUNTIFS($U$5:$U$45,"Rankeado",$I$5:$I$45,"&gt;"&amp;I42)+COUNTIFS($U$5:U42,"Rankeado",$I$5:I42,I42))</x:f>
      </x:c>
      <x:c r="B42" s="82" t="n">
        <x:f>COUNTIF($I$5:$I$45,"&gt;"&amp;I42)+COUNTIF($I$5:I42,I42)</x:f>
        <x:v>3</x:v>
      </x:c>
      <x:c r="C42" s="82" t="str">
        <x:f>IF(I42&gt;=80,"S+",IF(I42&gt;=72,"S",IF(I42&gt;=65,"A",IF(I42&gt;=58,"B",IF(I42&gt;=50,"C",IF(I42&gt;=42,"D","E"))))))</x:f>
        <x:v>S</x:v>
      </x:c>
      <x:c r="D42" s="82" t="str">
        <x:f>IF(AND(U42="Rankeado",A42&lt;=6),"Sim","Não")</x:f>
        <x:v>Não</x:v>
      </x:c>
      <x:c r="E42" s="82" t="n">
        <x:v>146</x:v>
      </x:c>
      <x:c r="F42" s="80" t="str">
        <x:v>Moltres</x:v>
      </x:c>
      <x:c r="G42" s="82" t="str">
        <x:v>Fogo / Voador</x:v>
      </x:c>
      <x:c r="H42" s="82" t="str">
        <x:v>Especial</x:v>
      </x:c>
      <x:c r="I42" s="142" t="n">
        <x:f>ROUND(100*(Metodologia!$B$17*(Q42/Metodologia!$B$22)+Metodologia!$B$18*(R42/Metodologia!$B$23)+Metodologia!$B$19*(S42/Metodologia!$B$24)+Metodologia!$B$20*(P42/Metodologia!$B$25)+Metodologia!$B$21*(J42/Metodologia!$B$26)),2)</x:f>
        <x:v>77.85</x:v>
      </x:c>
      <x:c r="J42" s="82" t="n">
        <x:f>SUM(K42:P42)</x:f>
        <x:v>580</x:v>
      </x:c>
      <x:c r="K42" s="82" t="n">
        <x:v>90</x:v>
      </x:c>
      <x:c r="L42" s="82" t="n">
        <x:v>100</x:v>
      </x:c>
      <x:c r="M42" s="82" t="n">
        <x:v>90</x:v>
      </x:c>
      <x:c r="N42" s="82" t="n">
        <x:v>125</x:v>
      </x:c>
      <x:c r="O42" s="82" t="n">
        <x:v>85</x:v>
      </x:c>
      <x:c r="P42" s="82" t="n">
        <x:v>90</x:v>
      </x:c>
      <x:c r="Q42" s="143" t="n">
        <x:f>MAX(L42,N42)*Metodologia!$B$16</x:f>
        <x:v>162.5</x:v>
      </x:c>
      <x:c r="R42" s="143" t="n">
        <x:f>MIN(L42,N42)*Metodologia!$B$16</x:f>
        <x:v>130</x:v>
      </x:c>
      <x:c r="S42" s="143" t="n">
        <x:f>SQRT(K42*AVERAGE(M42,O42)*Metodologia!$B$16)</x:f>
        <x:v>101.18053172424031</x:v>
      </x:c>
      <x:c r="T42" s="82" t="str">
        <x:v>Não</x:v>
      </x:c>
      <x:c r="U42" s="82" t="str">
        <x:v>Excluído — lendário/mítico</x:v>
      </x:c>
      <x:c r="V42" s="82" t="str">
        <x:v>Espécie lendária/mítica: mantida na auditoria, mas fora do time utilizável solicitado.</x:v>
      </x:c>
      <x:c r="W42" s="82" t="str"/>
      <x:c r="X42" s="82" t="str"/>
      <x:c r="Y42" s="154" t="str">
        <x:v>https://poke.idleworld.online/pokepedia/pokemon/moltres</x:v>
      </x:c>
    </x:row>
    <x:row r="43" ht="48" customHeight="1">
      <x:c r="A43" s="82" t="str">
        <x:f>IF(U43&lt;&gt;"Rankeado","",COUNTIFS($U$5:$U$45,"Rankeado",$I$5:$I$45,"&gt;"&amp;I43)+COUNTIFS($U$5:U43,"Rankeado",$I$5:I43,I43))</x:f>
      </x:c>
      <x:c r="B43" s="82" t="n">
        <x:f>COUNTIF($I$5:$I$45,"&gt;"&amp;I43)+COUNTIF($I$5:I43,I43)</x:f>
        <x:v>4</x:v>
      </x:c>
      <x:c r="C43" s="82" t="str">
        <x:f>IF(I43&gt;=80,"S+",IF(I43&gt;=72,"S",IF(I43&gt;=65,"A",IF(I43&gt;=58,"B",IF(I43&gt;=50,"C",IF(I43&gt;=42,"D","E"))))))</x:f>
        <x:v>S</x:v>
      </x:c>
      <x:c r="D43" s="82" t="str">
        <x:f>IF(AND(U43="Rankeado",A43&lt;=6),"Sim","Não")</x:f>
        <x:v>Não</x:v>
      </x:c>
      <x:c r="E43" s="82" t="n">
        <x:v>145</x:v>
      </x:c>
      <x:c r="F43" s="80" t="str">
        <x:v>Zapdos</x:v>
      </x:c>
      <x:c r="G43" s="82" t="str">
        <x:v>Elétrico / Voador</x:v>
      </x:c>
      <x:c r="H43" s="82" t="str">
        <x:v>Especial</x:v>
      </x:c>
      <x:c r="I43" s="142" t="n">
        <x:f>ROUND(100*(Metodologia!$B$17*(Q43/Metodologia!$B$22)+Metodologia!$B$18*(R43/Metodologia!$B$23)+Metodologia!$B$19*(S43/Metodologia!$B$24)+Metodologia!$B$20*(P43/Metodologia!$B$25)+Metodologia!$B$21*(J43/Metodologia!$B$26)),2)</x:f>
        <x:v>77.6</x:v>
      </x:c>
      <x:c r="J43" s="82" t="n">
        <x:f>SUM(K43:P43)</x:f>
        <x:v>580</x:v>
      </x:c>
      <x:c r="K43" s="82" t="n">
        <x:v>90</x:v>
      </x:c>
      <x:c r="L43" s="82" t="n">
        <x:v>90</x:v>
      </x:c>
      <x:c r="M43" s="82" t="n">
        <x:v>85</x:v>
      </x:c>
      <x:c r="N43" s="82" t="n">
        <x:v>125</x:v>
      </x:c>
      <x:c r="O43" s="82" t="n">
        <x:v>90</x:v>
      </x:c>
      <x:c r="P43" s="82" t="n">
        <x:v>100</x:v>
      </x:c>
      <x:c r="Q43" s="143" t="n">
        <x:f>MAX(L43,N43)*Metodologia!$B$16</x:f>
        <x:v>162.5</x:v>
      </x:c>
      <x:c r="R43" s="143" t="n">
        <x:f>MIN(L43,N43)*Metodologia!$B$16</x:f>
        <x:v>117</x:v>
      </x:c>
      <x:c r="S43" s="143" t="n">
        <x:f>SQRT(K43*AVERAGE(M43,O43)*Metodologia!$B$16)</x:f>
        <x:v>101.18053172424031</x:v>
      </x:c>
      <x:c r="T43" s="82" t="str">
        <x:v>Não</x:v>
      </x:c>
      <x:c r="U43" s="82" t="str">
        <x:v>Excluído — lendário/mítico</x:v>
      </x:c>
      <x:c r="V43" s="82" t="str">
        <x:v>Espécie lendária/mítica: mantida na auditoria, mas fora do time utilizável solicitado.</x:v>
      </x:c>
      <x:c r="W43" s="82" t="str"/>
      <x:c r="X43" s="82" t="str"/>
      <x:c r="Y43" s="154" t="str">
        <x:v>https://poke.idleworld.online/pokepedia/pokemon/zapdos</x:v>
      </x:c>
    </x:row>
    <x:row r="44" ht="48" customHeight="1">
      <x:c r="A44" s="82" t="str">
        <x:f>IF(U44&lt;&gt;"Rankeado","",COUNTIFS($U$5:$U$45,"Rankeado",$I$5:$I$45,"&gt;"&amp;I44)+COUNTIFS($U$5:U44,"Rankeado",$I$5:I44,I44))</x:f>
      </x:c>
      <x:c r="B44" s="82" t="n">
        <x:f>COUNTIF($I$5:$I$45,"&gt;"&amp;I44)+COUNTIF($I$5:I44,I44)</x:f>
        <x:v>7</x:v>
      </x:c>
      <x:c r="C44" s="82" t="str">
        <x:f>IF(I44&gt;=80,"S+",IF(I44&gt;=72,"S",IF(I44&gt;=65,"A",IF(I44&gt;=58,"B",IF(I44&gt;=50,"C",IF(I44&gt;=42,"D","E"))))))</x:f>
        <x:v>A</x:v>
      </x:c>
      <x:c r="D44" s="82" t="str">
        <x:f>IF(AND(U44="Rankeado",A44&lt;=6),"Sim","Não")</x:f>
        <x:v>Não</x:v>
      </x:c>
      <x:c r="E44" s="82" t="n">
        <x:v>249</x:v>
      </x:c>
      <x:c r="F44" s="80" t="str">
        <x:v>Lugia</x:v>
      </x:c>
      <x:c r="G44" s="82" t="str">
        <x:v>Psíquico / Voador</x:v>
      </x:c>
      <x:c r="H44" s="82" t="str">
        <x:v>Misto</x:v>
      </x:c>
      <x:c r="I44" s="142" t="n">
        <x:f>ROUND(100*(Metodologia!$B$17*(Q44/Metodologia!$B$22)+Metodologia!$B$18*(R44/Metodologia!$B$23)+Metodologia!$B$19*(S44/Metodologia!$B$24)+Metodologia!$B$20*(P44/Metodologia!$B$25)+Metodologia!$B$21*(J44/Metodologia!$B$26)),2)</x:f>
        <x:v>69.11</x:v>
      </x:c>
      <x:c r="J44" s="82" t="n">
        <x:f>SUM(K44:P44)</x:f>
        <x:v>680</x:v>
      </x:c>
      <x:c r="K44" s="82" t="n">
        <x:v>106</x:v>
      </x:c>
      <x:c r="L44" s="82" t="n">
        <x:v>90</x:v>
      </x:c>
      <x:c r="M44" s="82" t="n">
        <x:v>130</x:v>
      </x:c>
      <x:c r="N44" s="82" t="n">
        <x:v>90</x:v>
      </x:c>
      <x:c r="O44" s="82" t="n">
        <x:v>154</x:v>
      </x:c>
      <x:c r="P44" s="82" t="n">
        <x:v>110</x:v>
      </x:c>
      <x:c r="Q44" s="143" t="n">
        <x:f>MAX(L44,N44)*Metodologia!$B$16</x:f>
        <x:v>117</x:v>
      </x:c>
      <x:c r="R44" s="143" t="n">
        <x:f>MIN(L44,N44)*Metodologia!$B$16</x:f>
        <x:v>117</x:v>
      </x:c>
      <x:c r="S44" s="143" t="n">
        <x:f>SQRT(K44*AVERAGE(M44,O44)*Metodologia!$B$16)</x:f>
        <x:v>139.88423785401986</x:v>
      </x:c>
      <x:c r="T44" s="82" t="str">
        <x:v>Não</x:v>
      </x:c>
      <x:c r="U44" s="82" t="str">
        <x:v>Excluído — lendário/mítico</x:v>
      </x:c>
      <x:c r="V44" s="82" t="str">
        <x:v>Espécie lendária/mítica: mantida na auditoria, mas fora do time utilizável solicitado.</x:v>
      </x:c>
      <x:c r="W44" s="82" t="str"/>
      <x:c r="X44" s="82" t="str"/>
      <x:c r="Y44" s="154" t="str">
        <x:v>https://poke.idleworld.online/pokepedia/pokemon/lugia</x:v>
      </x:c>
    </x:row>
    <x:row r="45" ht="48" customHeight="1">
      <x:c r="A45" s="86" t="str">
        <x:f>IF(U45&lt;&gt;"Rankeado","",COUNTIFS($U$5:$U$45,"Rankeado",$I$5:$I$45,"&gt;"&amp;I45)+COUNTIFS($U$5:U45,"Rankeado",$I$5:I45,I45))</x:f>
      </x:c>
      <x:c r="B45" s="86" t="n">
        <x:f>COUNTIF($I$5:$I$45,"&gt;"&amp;I45)+COUNTIF($I$5:I45,I45)</x:f>
        <x:v>11</x:v>
      </x:c>
      <x:c r="C45" s="86" t="str">
        <x:f>IF(I45&gt;=80,"S+",IF(I45&gt;=72,"S",IF(I45&gt;=65,"A",IF(I45&gt;=58,"B",IF(I45&gt;=50,"C",IF(I45&gt;=42,"D","E"))))))</x:f>
        <x:v>A</x:v>
      </x:c>
      <x:c r="D45" s="86" t="str">
        <x:f>IF(AND(U45="Rankeado",A45&lt;=6),"Sim","Não")</x:f>
        <x:v>Não</x:v>
      </x:c>
      <x:c r="E45" s="86" t="n">
        <x:v>144</x:v>
      </x:c>
      <x:c r="F45" s="84" t="str">
        <x:v>Articuno</x:v>
      </x:c>
      <x:c r="G45" s="86" t="str">
        <x:v>Gelo / Voador</x:v>
      </x:c>
      <x:c r="H45" s="86" t="str">
        <x:v>Misto</x:v>
      </x:c>
      <x:c r="I45" s="145" t="n">
        <x:f>ROUND(100*(Metodologia!$B$17*(Q45/Metodologia!$B$22)+Metodologia!$B$18*(R45/Metodologia!$B$23)+Metodologia!$B$19*(S45/Metodologia!$B$24)+Metodologia!$B$20*(P45/Metodologia!$B$25)+Metodologia!$B$21*(J45/Metodologia!$B$26)),2)</x:f>
        <x:v>65.77</x:v>
      </x:c>
      <x:c r="J45" s="86" t="n">
        <x:f>SUM(K45:P45)</x:f>
        <x:v>580</x:v>
      </x:c>
      <x:c r="K45" s="86" t="n">
        <x:v>90</x:v>
      </x:c>
      <x:c r="L45" s="86" t="n">
        <x:v>85</x:v>
      </x:c>
      <x:c r="M45" s="86" t="n">
        <x:v>100</x:v>
      </x:c>
      <x:c r="N45" s="86" t="n">
        <x:v>95</x:v>
      </x:c>
      <x:c r="O45" s="86" t="n">
        <x:v>125</x:v>
      </x:c>
      <x:c r="P45" s="86" t="n">
        <x:v>85</x:v>
      </x:c>
      <x:c r="Q45" s="146" t="n">
        <x:f>MAX(L45,N45)*Metodologia!$B$16</x:f>
        <x:v>123.5</x:v>
      </x:c>
      <x:c r="R45" s="146" t="n">
        <x:f>MIN(L45,N45)*Metodologia!$B$16</x:f>
        <x:v>110.5</x:v>
      </x:c>
      <x:c r="S45" s="146" t="n">
        <x:f>SQRT(K45*AVERAGE(M45,O45)*Metodologia!$B$16)</x:f>
        <x:v>114.72793905583765</x:v>
      </x:c>
      <x:c r="T45" s="86" t="str">
        <x:v>Não</x:v>
      </x:c>
      <x:c r="U45" s="86" t="str">
        <x:v>Excluído — lendário/mítico</x:v>
      </x:c>
      <x:c r="V45" s="86" t="str">
        <x:v>Espécie lendária/mítica: mantida na auditoria, mas fora do time utilizável solicitado.</x:v>
      </x:c>
      <x:c r="W45" s="86" t="str"/>
      <x:c r="X45" s="86" t="str"/>
      <x:c r="Y45" s="155" t="str">
        <x:v>https://poke.idleworld.online/pokepedia/pokemon/articuno</x:v>
      </x:c>
    </x:row>
  </x:sheetData>
  <x:mergeCells>
    <x:mergeCell ref="A1:Y1"/>
    <x:mergeCell ref="A2:Y2"/>
  </x:mergeCells>
  <x:conditionalFormatting sqref="I5:I45">
    <x:cfRule type="colorScale" priority="1">
      <x:colorScale>
        <x:cfvo type="min"/>
        <x:cfvo type="percentile" val="50"/>
        <x:cfvo type="max"/>
        <x:color rgb="FF6B1F1A"/>
        <x:color rgb="FFD98350"/>
        <x:color rgb="FF5F9D62"/>
      </x:colorScale>
    </x:cfRule>
  </x:conditionalFormatting>
  <x:conditionalFormatting sqref="A5:Y45">
    <x:cfRule type="expression" dxfId="12" priority="2">
      <x:formula>AND($D5="Sim",$U5="Rankeado")</x:formula>
    </x:cfRule>
    <x:cfRule type="expression" dxfId="13" priority="3">
      <x:formula>$U5="Excluído — lendário/mítico"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df28500b1d4f6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8" hidden="0" customWidth="1"/>
    <x:col min="4" max="4" width="10" hidden="0" customWidth="1"/>
    <x:col min="5" max="5" width="7" hidden="0" customWidth="1"/>
    <x:col min="6" max="6" width="20" hidden="0" customWidth="1"/>
    <x:col min="7" max="7" width="22" hidden="0" customWidth="1"/>
    <x:col min="8" max="8" width="12" hidden="0" customWidth="1"/>
    <x:col min="9" max="9" width="11" hidden="0" customWidth="1"/>
    <x:col min="10" max="10" width="9" hidden="0" customWidth="1"/>
    <x:col min="11" max="11" width="8" hidden="0" customWidth="1"/>
    <x:col min="12" max="12" width="8" hidden="0" customWidth="1"/>
    <x:col min="13" max="13" width="8" hidden="0" customWidth="1"/>
    <x:col min="14" max="14" width="10" hidden="0" customWidth="1"/>
    <x:col min="15" max="15" width="10" hidden="0" customWidth="1"/>
    <x:col min="16" max="16" width="9" hidden="0" customWidth="1"/>
    <x:col min="17" max="17" width="18" hidden="0" customWidth="1"/>
    <x:col min="18" max="18" width="21" hidden="0" customWidth="1"/>
    <x:col min="19" max="19" width="16" hidden="0" customWidth="1"/>
    <x:col min="20" max="20" width="13" hidden="0" customWidth="1"/>
    <x:col min="21" max="21" width="23" hidden="0" customWidth="1"/>
    <x:col min="22" max="22" width="48" hidden="0" customWidth="1"/>
    <x:col min="23" max="23" width="52" hidden="0" customWidth="1"/>
    <x:col min="24" max="24" width="52" hidden="0" customWidth="1"/>
    <x:col min="25" max="25" width="56" hidden="0" customWidth="1"/>
  </x:cols>
  <x:sheetData>
    <x:row r="1" ht="34" customHeight="1">
      <x:c r="A1" s="5" t="str">
        <x:v>Psycraft · ranking completo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 ht="24" customHeight="1">
      <x:c r="A2" s="12" t="str">
        <x:v>Psíquico / Fada · 32 utilizáveis · time recomendado: Alakazam · Espeon · Exeggutor · Granbull · Jynx · Starmie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</x:row>
    <x:row r="4">
      <x:c r="A4" s="115" t="str">
        <x:v>Posição</x:v>
      </x:c>
      <x:c r="B4" s="115" t="str">
        <x:v>Rank teórico</x:v>
      </x:c>
      <x:c r="C4" s="115" t="str">
        <x:v>Tier</x:v>
      </x:c>
      <x:c r="D4" s="115" t="str">
        <x:v>Time 6</x:v>
      </x:c>
      <x:c r="E4" s="115" t="str">
        <x:v>#</x:v>
      </x:c>
      <x:c r="F4" s="115" t="str">
        <x:v>Pokémon</x:v>
      </x:c>
      <x:c r="G4" s="115" t="str">
        <x:v>Tipos</x:v>
      </x:c>
      <x:c r="H4" s="115" t="str">
        <x:v>Perfil</x:v>
      </x:c>
      <x:c r="I4" s="115" t="str">
        <x:v>Score</x:v>
      </x:c>
      <x:c r="J4" s="115" t="str">
        <x:v>BST</x:v>
      </x:c>
      <x:c r="K4" s="115" t="str">
        <x:v>HP</x:v>
      </x:c>
      <x:c r="L4" s="115" t="str">
        <x:v>ATK</x:v>
      </x:c>
      <x:c r="M4" s="115" t="str">
        <x:v>DEF</x:v>
      </x:c>
      <x:c r="N4" s="115" t="str">
        <x:v>Sp. ATK</x:v>
      </x:c>
      <x:c r="O4" s="115" t="str">
        <x:v>Sp. DEF</x:v>
      </x:c>
      <x:c r="P4" s="115" t="str">
        <x:v>Speed</x:v>
      </x:c>
      <x:c r="Q4" s="115" t="str">
        <x:v>Teto ofensivo R5</x:v>
      </x:c>
      <x:c r="R4" s="115" t="str">
        <x:v>Ofensiva secundária R5</x:v>
      </x:c>
      <x:c r="S4" s="115" t="str">
        <x:v>Robustez R5</x:v>
      </x:c>
      <x:c r="T4" s="115" t="str">
        <x:v>Hunt Kanto</x:v>
      </x:c>
      <x:c r="U4" s="115" t="str">
        <x:v>Status</x:v>
      </x:c>
      <x:c r="V4" s="115" t="str">
        <x:v>Leitura técnica</x:v>
      </x:c>
      <x:c r="W4" s="115" t="str">
        <x:v>Por que abaixo do anterior</x:v>
      </x:c>
      <x:c r="X4" s="115" t="str">
        <x:v>Por que acima do seguinte</x:v>
      </x:c>
      <x:c r="Y4" s="115" t="str">
        <x:v>Fonte</x:v>
      </x:c>
    </x:row>
    <x:row r="5" ht="48" customHeight="1">
      <x:c r="A5" s="82" t="n">
        <x:f>IF(U5&lt;&gt;"Rankeado","",COUNTIFS($U$5:$U$40,"Rankeado",$I$5:$I$40,"&gt;"&amp;I5)+COUNTIFS($U$5:U5,"Rankeado",$I$5:I5,I5))</x:f>
        <x:v>1</x:v>
      </x:c>
      <x:c r="B5" s="82" t="n">
        <x:f>COUNTIF($I$5:$I$40,"&gt;"&amp;I5)+COUNTIF($I$5:I5,I5)</x:f>
        <x:v>2</x:v>
      </x:c>
      <x:c r="C5" s="82" t="str">
        <x:f>IF(I5&gt;=80,"S+",IF(I5&gt;=72,"S",IF(I5&gt;=65,"A",IF(I5&gt;=58,"B",IF(I5&gt;=50,"C",IF(I5&gt;=42,"D","E"))))))</x:f>
        <x:v>S</x:v>
      </x:c>
      <x:c r="D5" s="82" t="str">
        <x:f>IF(AND(U5="Rankeado",A5&lt;=6),"Sim","Não")</x:f>
        <x:v>Sim</x:v>
      </x:c>
      <x:c r="E5" s="82" t="n">
        <x:v>65</x:v>
      </x:c>
      <x:c r="F5" s="80" t="str">
        <x:v>Alakazam</x:v>
      </x:c>
      <x:c r="G5" s="82" t="str">
        <x:v>Psíquico</x:v>
      </x:c>
      <x:c r="H5" s="82" t="str">
        <x:v>Especial</x:v>
      </x:c>
      <x:c r="I5" s="142" t="n">
        <x:f>ROUND(100*(Metodologia!$B$17*(Q5/Metodologia!$B$22)+Metodologia!$B$18*(R5/Metodologia!$B$23)+Metodologia!$B$19*(S5/Metodologia!$B$24)+Metodologia!$B$20*(P5/Metodologia!$B$25)+Metodologia!$B$21*(J5/Metodologia!$B$26)),2)</x:f>
        <x:v>75.66</x:v>
      </x:c>
      <x:c r="J5" s="82" t="n">
        <x:f>SUM(K5:P5)</x:f>
        <x:v>500</x:v>
      </x:c>
      <x:c r="K5" s="82" t="n">
        <x:v>55</x:v>
      </x:c>
      <x:c r="L5" s="82" t="n">
        <x:v>50</x:v>
      </x:c>
      <x:c r="M5" s="82" t="n">
        <x:v>45</x:v>
      </x:c>
      <x:c r="N5" s="82" t="n">
        <x:v>135</x:v>
      </x:c>
      <x:c r="O5" s="82" t="n">
        <x:v>95</x:v>
      </x:c>
      <x:c r="P5" s="82" t="n">
        <x:v>120</x:v>
      </x:c>
      <x:c r="Q5" s="143" t="n">
        <x:f>MAX(L5,N5)*Metodologia!$B$16</x:f>
        <x:v>175.5</x:v>
      </x:c>
      <x:c r="R5" s="143" t="n">
        <x:f>MIN(L5,N5)*Metodologia!$B$16</x:f>
        <x:v>65</x:v>
      </x:c>
      <x:c r="S5" s="143" t="n">
        <x:f>SQRT(K5*AVERAGE(M5,O5)*Metodologia!$B$16)</x:f>
        <x:v>70.74602462329597</x:v>
      </x:c>
      <x:c r="T5" s="82" t="str">
        <x:v>Sim</x:v>
      </x:c>
      <x:c r="U5" s="82" t="str">
        <x:v>Rankeado</x:v>
      </x:c>
      <x:c r="V5" s="82" t="str">
        <x:v>Perfil especial; melhor atributo ofensivo 135, ofensiva secundária 50, robustez relativa 46% e Speed 120. O índice privilegia dano de hunt, sem ignorar sobrevivência.</x:v>
      </x:c>
      <x:c r="W5" s="82" t="str">
        <x:v>É o líder do clã no modelo.</x:v>
      </x:c>
      <x:c r="X5" s="82" t="str">
        <x:v>Fica à frente de Espeon porque possui teto ofensivo 3.8% maior e velocidade 9.1% maior.</x:v>
      </x:c>
      <x:c r="Y5" s="154" t="str">
        <x:v>https://poke.idleworld.online/pokepedia/pokemon/alakazam</x:v>
      </x:c>
    </x:row>
    <x:row r="6" ht="48" customHeight="1">
      <x:c r="A6" s="82" t="n">
        <x:f>IF(U6&lt;&gt;"Rankeado","",COUNTIFS($U$5:$U$40,"Rankeado",$I$5:$I$40,"&gt;"&amp;I6)+COUNTIFS($U$5:U6,"Rankeado",$I$5:I6,I6))</x:f>
        <x:v>2</x:v>
      </x:c>
      <x:c r="B6" s="82" t="n">
        <x:f>COUNTIF($I$5:$I$40,"&gt;"&amp;I6)+COUNTIF($I$5:I6,I6)</x:f>
        <x:v>3</x:v>
      </x:c>
      <x:c r="C6" s="82" t="str">
        <x:f>IF(I6&gt;=80,"S+",IF(I6&gt;=72,"S",IF(I6&gt;=65,"A",IF(I6&gt;=58,"B",IF(I6&gt;=50,"C",IF(I6&gt;=42,"D","E"))))))</x:f>
        <x:v>S</x:v>
      </x:c>
      <x:c r="D6" s="82" t="str">
        <x:f>IF(AND(U6="Rankeado",A6&lt;=6),"Sim","Não")</x:f>
        <x:v>Sim</x:v>
      </x:c>
      <x:c r="E6" s="82" t="n">
        <x:v>196</x:v>
      </x:c>
      <x:c r="F6" s="80" t="str">
        <x:v>Espeon</x:v>
      </x:c>
      <x:c r="G6" s="82" t="str">
        <x:v>Psíquico</x:v>
      </x:c>
      <x:c r="H6" s="82" t="str">
        <x:v>Especial</x:v>
      </x:c>
      <x:c r="I6" s="142" t="n">
        <x:f>ROUND(100*(Metodologia!$B$17*(Q6/Metodologia!$B$22)+Metodologia!$B$18*(R6/Metodologia!$B$23)+Metodologia!$B$19*(S6/Metodologia!$B$24)+Metodologia!$B$20*(P6/Metodologia!$B$25)+Metodologia!$B$21*(J6/Metodologia!$B$26)),2)</x:f>
        <x:v>75.58</x:v>
      </x:c>
      <x:c r="J6" s="82" t="n">
        <x:f>SUM(K6:P6)</x:f>
        <x:v>525</x:v>
      </x:c>
      <x:c r="K6" s="82" t="n">
        <x:v>65</x:v>
      </x:c>
      <x:c r="L6" s="82" t="n">
        <x:v>65</x:v>
      </x:c>
      <x:c r="M6" s="82" t="n">
        <x:v>60</x:v>
      </x:c>
      <x:c r="N6" s="82" t="n">
        <x:v>130</x:v>
      </x:c>
      <x:c r="O6" s="82" t="n">
        <x:v>95</x:v>
      </x:c>
      <x:c r="P6" s="82" t="n">
        <x:v>110</x:v>
      </x:c>
      <x:c r="Q6" s="143" t="n">
        <x:f>MAX(L6,N6)*Metodologia!$B$16</x:f>
        <x:v>169</x:v>
      </x:c>
      <x:c r="R6" s="143" t="n">
        <x:f>MIN(L6,N6)*Metodologia!$B$16</x:f>
        <x:v>84.5</x:v>
      </x:c>
      <x:c r="S6" s="143" t="n">
        <x:f>SQRT(K6*AVERAGE(M6,O6)*Metodologia!$B$16)</x:f>
        <x:v>80.92434738692675</x:v>
      </x:c>
      <x:c r="T6" s="82" t="str">
        <x:v>Não</x:v>
      </x:c>
      <x:c r="U6" s="82" t="str">
        <x:v>Rankeado</x:v>
      </x:c>
      <x:c r="V6" s="82" t="str">
        <x:v>Perfil especial; melhor atributo ofensivo 130, ofensiva secundária 65, robustez relativa 52% e Speed 110. O índice privilegia dano de hunt, sem ignorar sobrevivência.</x:v>
      </x:c>
      <x:c r="W6" s="82" t="str">
        <x:v>Fica atrás de Alakazam principalmente por teto ofensivo 3.7% menor e velocidade 8.3% menor.</x:v>
      </x:c>
      <x:c r="X6" s="82" t="str">
        <x:v>Fica à frente de Exeggutor porque possui velocidade 100.0% maior e teto ofensivo 4.0% maior.</x:v>
      </x:c>
      <x:c r="Y6" s="154" t="str">
        <x:v>https://poke.idleworld.online/pokepedia/pokemon/espeon</x:v>
      </x:c>
    </x:row>
    <x:row r="7" ht="48" customHeight="1">
      <x:c r="A7" s="82" t="n">
        <x:f>IF(U7&lt;&gt;"Rankeado","",COUNTIFS($U$5:$U$40,"Rankeado",$I$5:$I$40,"&gt;"&amp;I7)+COUNTIFS($U$5:U7,"Rankeado",$I$5:I7,I7))</x:f>
        <x:v>3</x:v>
      </x:c>
      <x:c r="B7" s="82" t="n">
        <x:f>COUNTIF($I$5:$I$40,"&gt;"&amp;I7)+COUNTIF($I$5:I7,I7)</x:f>
        <x:v>4</x:v>
      </x:c>
      <x:c r="C7" s="82" t="str">
        <x:f>IF(I7&gt;=80,"S+",IF(I7&gt;=72,"S",IF(I7&gt;=65,"A",IF(I7&gt;=58,"B",IF(I7&gt;=50,"C",IF(I7&gt;=42,"D","E"))))))</x:f>
        <x:v>S</x:v>
      </x:c>
      <x:c r="D7" s="82" t="str">
        <x:f>IF(AND(U7="Rankeado",A7&lt;=6),"Sim","Não")</x:f>
        <x:v>Sim</x:v>
      </x:c>
      <x:c r="E7" s="82" t="n">
        <x:v>103</x:v>
      </x:c>
      <x:c r="F7" s="80" t="str">
        <x:v>Exeggutor</x:v>
      </x:c>
      <x:c r="G7" s="82" t="str">
        <x:v>Planta / Psíquico</x:v>
      </x:c>
      <x:c r="H7" s="82" t="str">
        <x:v>Especial</x:v>
      </x:c>
      <x:c r="I7" s="142" t="n">
        <x:f>ROUND(100*(Metodologia!$B$17*(Q7/Metodologia!$B$22)+Metodologia!$B$18*(R7/Metodologia!$B$23)+Metodologia!$B$19*(S7/Metodologia!$B$24)+Metodologia!$B$20*(P7/Metodologia!$B$25)+Metodologia!$B$21*(J7/Metodologia!$B$26)),2)</x:f>
        <x:v>74.52</x:v>
      </x:c>
      <x:c r="J7" s="82" t="n">
        <x:f>SUM(K7:P7)</x:f>
        <x:v>530</x:v>
      </x:c>
      <x:c r="K7" s="82" t="n">
        <x:v>95</x:v>
      </x:c>
      <x:c r="L7" s="82" t="n">
        <x:v>95</x:v>
      </x:c>
      <x:c r="M7" s="82" t="n">
        <x:v>85</x:v>
      </x:c>
      <x:c r="N7" s="82" t="n">
        <x:v>125</x:v>
      </x:c>
      <x:c r="O7" s="82" t="n">
        <x:v>75</x:v>
      </x:c>
      <x:c r="P7" s="82" t="n">
        <x:v>55</x:v>
      </x:c>
      <x:c r="Q7" s="143" t="n">
        <x:f>MAX(L7,N7)*Metodologia!$B$16</x:f>
        <x:v>162.5</x:v>
      </x:c>
      <x:c r="R7" s="143" t="n">
        <x:f>MIN(L7,N7)*Metodologia!$B$16</x:f>
        <x:v>123.5</x:v>
      </x:c>
      <x:c r="S7" s="143" t="n">
        <x:f>SQRT(K7*AVERAGE(M7,O7)*Metodologia!$B$16)</x:f>
        <x:v>99.39818911831343</x:v>
      </x:c>
      <x:c r="T7" s="82" t="str">
        <x:v>Sim</x:v>
      </x:c>
      <x:c r="U7" s="82" t="str">
        <x:v>Rankeado</x:v>
      </x:c>
      <x:c r="V7" s="82" t="str">
        <x:v>Perfil especial; melhor atributo ofensivo 125, ofensiva secundária 95, robustez relativa 64% e Speed 55. O índice privilegia dano de hunt, sem ignorar sobrevivência.</x:v>
      </x:c>
      <x:c r="W7" s="82" t="str">
        <x:v>Fica atrás de Espeon principalmente por velocidade 50.0% menor e teto ofensivo 3.8% menor.</x:v>
      </x:c>
      <x:c r="X7" s="82" t="str">
        <x:v>Fica à frente de Granbull porque possui ofensiva secundária 58.3% maior e teto ofensivo 4.2% maior.</x:v>
      </x:c>
      <x:c r="Y7" s="154" t="str">
        <x:v>https://poke.idleworld.online/pokepedia/pokemon/exeggutor</x:v>
      </x:c>
    </x:row>
    <x:row r="8" ht="48" customHeight="1">
      <x:c r="A8" s="82" t="n">
        <x:f>IF(U8&lt;&gt;"Rankeado","",COUNTIFS($U$5:$U$40,"Rankeado",$I$5:$I$40,"&gt;"&amp;I8)+COUNTIFS($U$5:U8,"Rankeado",$I$5:I8,I8))</x:f>
        <x:v>4</x:v>
      </x:c>
      <x:c r="B8" s="82" t="n">
        <x:f>COUNTIF($I$5:$I$40,"&gt;"&amp;I8)+COUNTIF($I$5:I8,I8)</x:f>
        <x:v>8</x:v>
      </x:c>
      <x:c r="C8" s="82" t="str">
        <x:f>IF(I8&gt;=80,"S+",IF(I8&gt;=72,"S",IF(I8&gt;=65,"A",IF(I8&gt;=58,"B",IF(I8&gt;=50,"C",IF(I8&gt;=42,"D","E"))))))</x:f>
        <x:v>A</x:v>
      </x:c>
      <x:c r="D8" s="82" t="str">
        <x:f>IF(AND(U8="Rankeado",A8&lt;=6),"Sim","Não")</x:f>
        <x:v>Sim</x:v>
      </x:c>
      <x:c r="E8" s="82" t="n">
        <x:v>210</x:v>
      </x:c>
      <x:c r="F8" s="80" t="str">
        <x:v>Granbull</x:v>
      </x:c>
      <x:c r="G8" s="82" t="str">
        <x:v>Fada</x:v>
      </x:c>
      <x:c r="H8" s="82" t="str">
        <x:v>Físico</x:v>
      </x:c>
      <x:c r="I8" s="142" t="n">
        <x:f>ROUND(100*(Metodologia!$B$17*(Q8/Metodologia!$B$22)+Metodologia!$B$18*(R8/Metodologia!$B$23)+Metodologia!$B$19*(S8/Metodologia!$B$24)+Metodologia!$B$20*(P8/Metodologia!$B$25)+Metodologia!$B$21*(J8/Metodologia!$B$26)),2)</x:f>
        <x:v>67.12</x:v>
      </x:c>
      <x:c r="J8" s="82" t="n">
        <x:f>SUM(K8:P8)</x:f>
        <x:v>450</x:v>
      </x:c>
      <x:c r="K8" s="82" t="n">
        <x:v>90</x:v>
      </x:c>
      <x:c r="L8" s="82" t="n">
        <x:v>120</x:v>
      </x:c>
      <x:c r="M8" s="82" t="n">
        <x:v>75</x:v>
      </x:c>
      <x:c r="N8" s="82" t="n">
        <x:v>60</x:v>
      </x:c>
      <x:c r="O8" s="82" t="n">
        <x:v>60</x:v>
      </x:c>
      <x:c r="P8" s="82" t="n">
        <x:v>45</x:v>
      </x:c>
      <x:c r="Q8" s="143" t="n">
        <x:f>MAX(L8,N8)*Metodologia!$B$16</x:f>
        <x:v>156</x:v>
      </x:c>
      <x:c r="R8" s="143" t="n">
        <x:f>MIN(L8,N8)*Metodologia!$B$16</x:f>
        <x:v>78</x:v>
      </x:c>
      <x:c r="S8" s="143" t="n">
        <x:f>SQRT(K8*AVERAGE(M8,O8)*Metodologia!$B$16)</x:f>
        <x:v>88.86787946159174</x:v>
      </x:c>
      <x:c r="T8" s="82" t="str">
        <x:v>Sim</x:v>
      </x:c>
      <x:c r="U8" s="82" t="str">
        <x:v>Rankeado</x:v>
      </x:c>
      <x:c r="V8" s="82" t="str">
        <x:v>Perfil físico; melhor atributo ofensivo 120, ofensiva secundária 60, robustez relativa 57% e Speed 45. O índice privilegia dano de hunt, sem ignorar sobrevivência.</x:v>
      </x:c>
      <x:c r="W8" s="82" t="str">
        <x:v>Fica atrás de Exeggutor principalmente por ofensiva secundária 36.8% menor e teto ofensivo 4.0% menor.</x:v>
      </x:c>
      <x:c r="X8" s="82" t="str">
        <x:v>Fica à frente de Jynx porque possui teto ofensivo 4.3% maior e robustez sustentada 19.9% maior.</x:v>
      </x:c>
      <x:c r="Y8" s="154" t="str">
        <x:v>https://poke.idleworld.online/pokepedia/pokemon/granbull</x:v>
      </x:c>
    </x:row>
    <x:row r="9" ht="48" customHeight="1">
      <x:c r="A9" s="82" t="n">
        <x:f>IF(U9&lt;&gt;"Rankeado","",COUNTIFS($U$5:$U$40,"Rankeado",$I$5:$I$40,"&gt;"&amp;I9)+COUNTIFS($U$5:U9,"Rankeado",$I$5:I9,I9))</x:f>
        <x:v>5</x:v>
      </x:c>
      <x:c r="B9" s="82" t="n">
        <x:f>COUNTIF($I$5:$I$40,"&gt;"&amp;I9)+COUNTIF($I$5:I9,I9)</x:f>
        <x:v>9</x:v>
      </x:c>
      <x:c r="C9" s="82" t="str">
        <x:f>IF(I9&gt;=80,"S+",IF(I9&gt;=72,"S",IF(I9&gt;=65,"A",IF(I9&gt;=58,"B",IF(I9&gt;=50,"C",IF(I9&gt;=42,"D","E"))))))</x:f>
        <x:v>A</x:v>
      </x:c>
      <x:c r="D9" s="82" t="str">
        <x:f>IF(AND(U9="Rankeado",A9&lt;=6),"Sim","Não")</x:f>
        <x:v>Sim</x:v>
      </x:c>
      <x:c r="E9" s="82" t="n">
        <x:v>124</x:v>
      </x:c>
      <x:c r="F9" s="80" t="str">
        <x:v>Jynx</x:v>
      </x:c>
      <x:c r="G9" s="82" t="str">
        <x:v>Gelo / Psíquico</x:v>
      </x:c>
      <x:c r="H9" s="82" t="str">
        <x:v>Especial</x:v>
      </x:c>
      <x:c r="I9" s="142" t="n">
        <x:f>ROUND(100*(Metodologia!$B$17*(Q9/Metodologia!$B$22)+Metodologia!$B$18*(R9/Metodologia!$B$23)+Metodologia!$B$19*(S9/Metodologia!$B$24)+Metodologia!$B$20*(P9/Metodologia!$B$25)+Metodologia!$B$21*(J9/Metodologia!$B$26)),2)</x:f>
        <x:v>66.2</x:v>
      </x:c>
      <x:c r="J9" s="82" t="n">
        <x:f>SUM(K9:P9)</x:f>
        <x:v>455</x:v>
      </x:c>
      <x:c r="K9" s="82" t="n">
        <x:v>65</x:v>
      </x:c>
      <x:c r="L9" s="82" t="n">
        <x:v>50</x:v>
      </x:c>
      <x:c r="M9" s="82" t="n">
        <x:v>35</x:v>
      </x:c>
      <x:c r="N9" s="82" t="n">
        <x:v>115</x:v>
      </x:c>
      <x:c r="O9" s="82" t="n">
        <x:v>95</x:v>
      </x:c>
      <x:c r="P9" s="82" t="n">
        <x:v>95</x:v>
      </x:c>
      <x:c r="Q9" s="143" t="n">
        <x:f>MAX(L9,N9)*Metodologia!$B$16</x:f>
        <x:v>149.5</x:v>
      </x:c>
      <x:c r="R9" s="143" t="n">
        <x:f>MIN(L9,N9)*Metodologia!$B$16</x:f>
        <x:v>65</x:v>
      </x:c>
      <x:c r="S9" s="143" t="n">
        <x:f>SQRT(K9*AVERAGE(M9,O9)*Metodologia!$B$16)</x:f>
        <x:v>74.11140263144397</x:v>
      </x:c>
      <x:c r="T9" s="82" t="str">
        <x:v>Sim</x:v>
      </x:c>
      <x:c r="U9" s="82" t="str">
        <x:v>Rankeado</x:v>
      </x:c>
      <x:c r="V9" s="82" t="str">
        <x:v>Perfil especial; melhor atributo ofensivo 115, ofensiva secundária 50, robustez relativa 48% e Speed 95. O índice privilegia dano de hunt, sem ignorar sobrevivência.</x:v>
      </x:c>
      <x:c r="W9" s="82" t="str">
        <x:v>Fica atrás de Granbull principalmente por teto ofensivo 4.2% menor e robustez sustentada 16.6% menor.</x:v>
      </x:c>
      <x:c r="X9" s="82" t="str">
        <x:v>Fica à frente de Starmie porque possui teto ofensivo 15.0% maior.</x:v>
      </x:c>
      <x:c r="Y9" s="154" t="str">
        <x:v>https://poke.idleworld.online/pokepedia/pokemon/jynx</x:v>
      </x:c>
    </x:row>
    <x:row r="10" ht="48" customHeight="1">
      <x:c r="A10" s="82" t="n">
        <x:f>IF(U10&lt;&gt;"Rankeado","",COUNTIFS($U$5:$U$40,"Rankeado",$I$5:$I$40,"&gt;"&amp;I10)+COUNTIFS($U$5:U10,"Rankeado",$I$5:I10,I10))</x:f>
        <x:v>6</x:v>
      </x:c>
      <x:c r="B10" s="82" t="n">
        <x:f>COUNTIF($I$5:$I$40,"&gt;"&amp;I10)+COUNTIF($I$5:I10,I10)</x:f>
        <x:v>10</x:v>
      </x:c>
      <x:c r="C10" s="82" t="str">
        <x:f>IF(I10&gt;=80,"S+",IF(I10&gt;=72,"S",IF(I10&gt;=65,"A",IF(I10&gt;=58,"B",IF(I10&gt;=50,"C",IF(I10&gt;=42,"D","E"))))))</x:f>
        <x:v>A</x:v>
      </x:c>
      <x:c r="D10" s="82" t="str">
        <x:f>IF(AND(U10="Rankeado",A10&lt;=6),"Sim","Não")</x:f>
        <x:v>Sim</x:v>
      </x:c>
      <x:c r="E10" s="82" t="n">
        <x:v>121</x:v>
      </x:c>
      <x:c r="F10" s="80" t="str">
        <x:v>Starmie</x:v>
      </x:c>
      <x:c r="G10" s="82" t="str">
        <x:v>Água / Psíquico</x:v>
      </x:c>
      <x:c r="H10" s="82" t="str">
        <x:v>Especial</x:v>
      </x:c>
      <x:c r="I10" s="142" t="n">
        <x:f>ROUND(100*(Metodologia!$B$17*(Q10/Metodologia!$B$22)+Metodologia!$B$18*(R10/Metodologia!$B$23)+Metodologia!$B$19*(S10/Metodologia!$B$24)+Metodologia!$B$20*(P10/Metodologia!$B$25)+Metodologia!$B$21*(J10/Metodologia!$B$26)),2)</x:f>
        <x:v>65.15</x:v>
      </x:c>
      <x:c r="J10" s="82" t="n">
        <x:f>SUM(K10:P10)</x:f>
        <x:v>520</x:v>
      </x:c>
      <x:c r="K10" s="82" t="n">
        <x:v>60</x:v>
      </x:c>
      <x:c r="L10" s="82" t="n">
        <x:v>75</x:v>
      </x:c>
      <x:c r="M10" s="82" t="n">
        <x:v>85</x:v>
      </x:c>
      <x:c r="N10" s="82" t="n">
        <x:v>100</x:v>
      </x:c>
      <x:c r="O10" s="82" t="n">
        <x:v>85</x:v>
      </x:c>
      <x:c r="P10" s="82" t="n">
        <x:v>115</x:v>
      </x:c>
      <x:c r="Q10" s="143" t="n">
        <x:f>MAX(L10,N10)*Metodologia!$B$16</x:f>
        <x:v>130</x:v>
      </x:c>
      <x:c r="R10" s="143" t="n">
        <x:f>MIN(L10,N10)*Metodologia!$B$16</x:f>
        <x:v>97.5</x:v>
      </x:c>
      <x:c r="S10" s="143" t="n">
        <x:f>SQRT(K10*AVERAGE(M10,O10)*Metodologia!$B$16)</x:f>
        <x:v>81.42481194328913</x:v>
      </x:c>
      <x:c r="T10" s="82" t="str">
        <x:v>Sim</x:v>
      </x:c>
      <x:c r="U10" s="82" t="str">
        <x:v>Rankeado</x:v>
      </x:c>
      <x:c r="V10" s="82" t="str">
        <x:v>Perfil especial; melhor atributo ofensivo 100, ofensiva secundária 75, robustez relativa 53% e Speed 115. O índice privilegia dano de hunt, sem ignorar sobrevivência.</x:v>
      </x:c>
      <x:c r="W10" s="82" t="str">
        <x:v>Fica atrás de Jynx principalmente por teto ofensivo 13.0% menor.</x:v>
      </x:c>
      <x:c r="X10" s="82" t="str">
        <x:v>Fica à frente de Kadabra porque possui ofensiva secundária 114.3% maior e robustez sustentada 59.7% maior.</x:v>
      </x:c>
      <x:c r="Y10" s="154" t="str">
        <x:v>https://poke.idleworld.online/pokepedia/pokemon/starmie</x:v>
      </x:c>
    </x:row>
    <x:row r="11" ht="48" customHeight="1">
      <x:c r="A11" s="82" t="n">
        <x:f>IF(U11&lt;&gt;"Rankeado","",COUNTIFS($U$5:$U$40,"Rankeado",$I$5:$I$40,"&gt;"&amp;I11)+COUNTIFS($U$5:U11,"Rankeado",$I$5:I11,I11))</x:f>
        <x:v>7</x:v>
      </x:c>
      <x:c r="B11" s="82" t="n">
        <x:f>COUNTIF($I$5:$I$40,"&gt;"&amp;I11)+COUNTIF($I$5:I11,I11)</x:f>
        <x:v>11</x:v>
      </x:c>
      <x:c r="C11" s="82" t="str">
        <x:f>IF(I11&gt;=80,"S+",IF(I11&gt;=72,"S",IF(I11&gt;=65,"A",IF(I11&gt;=58,"B",IF(I11&gt;=50,"C",IF(I11&gt;=42,"D","E"))))))</x:f>
        <x:v>B</x:v>
      </x:c>
      <x:c r="D11" s="82" t="str">
        <x:f>IF(AND(U11="Rankeado",A11&lt;=6),"Sim","Não")</x:f>
        <x:v>Não</x:v>
      </x:c>
      <x:c r="E11" s="82" t="n">
        <x:v>64</x:v>
      </x:c>
      <x:c r="F11" s="80" t="str">
        <x:v>Kadabra</x:v>
      </x:c>
      <x:c r="G11" s="82" t="str">
        <x:v>Psíquico</x:v>
      </x:c>
      <x:c r="H11" s="82" t="str">
        <x:v>Especial</x:v>
      </x:c>
      <x:c r="I11" s="142" t="n">
        <x:f>ROUND(100*(Metodologia!$B$17*(Q11/Metodologia!$B$22)+Metodologia!$B$18*(R11/Metodologia!$B$23)+Metodologia!$B$19*(S11/Metodologia!$B$24)+Metodologia!$B$20*(P11/Metodologia!$B$25)+Metodologia!$B$21*(J11/Metodologia!$B$26)),2)</x:f>
        <x:v>64.81</x:v>
      </x:c>
      <x:c r="J11" s="82" t="n">
        <x:f>SUM(K11:P11)</x:f>
        <x:v>400</x:v>
      </x:c>
      <x:c r="K11" s="82" t="n">
        <x:v>40</x:v>
      </x:c>
      <x:c r="L11" s="82" t="n">
        <x:v>35</x:v>
      </x:c>
      <x:c r="M11" s="82" t="n">
        <x:v>30</x:v>
      </x:c>
      <x:c r="N11" s="82" t="n">
        <x:v>120</x:v>
      </x:c>
      <x:c r="O11" s="82" t="n">
        <x:v>70</x:v>
      </x:c>
      <x:c r="P11" s="82" t="n">
        <x:v>105</x:v>
      </x:c>
      <x:c r="Q11" s="143" t="n">
        <x:f>MAX(L11,N11)*Metodologia!$B$16</x:f>
        <x:v>156</x:v>
      </x:c>
      <x:c r="R11" s="143" t="n">
        <x:f>MIN(L11,N11)*Metodologia!$B$16</x:f>
        <x:v>45.5</x:v>
      </x:c>
      <x:c r="S11" s="143" t="n">
        <x:f>SQRT(K11*AVERAGE(M11,O11)*Metodologia!$B$16)</x:f>
        <x:v>50.99019513592785</x:v>
      </x:c>
      <x:c r="T11" s="82" t="str">
        <x:v>Sim</x:v>
      </x:c>
      <x:c r="U11" s="82" t="str">
        <x:v>Rankeado</x:v>
      </x:c>
      <x:c r="V11" s="82" t="str">
        <x:v>Perfil especial; melhor atributo ofensivo 120, ofensiva secundária 35, robustez relativa 33% e Speed 105. O índice privilegia dano de hunt, sem ignorar sobrevivência.</x:v>
      </x:c>
      <x:c r="W11" s="82" t="str">
        <x:v>Fica atrás de Starmie principalmente por ofensiva secundária 53.3% menor e robustez sustentada 37.4% menor.</x:v>
      </x:c>
      <x:c r="X11" s="82" t="str">
        <x:v>Fica à frente de Slowbro porque possui teto ofensivo 20.0% maior e velocidade 250.0% maior.</x:v>
      </x:c>
      <x:c r="Y11" s="154" t="str">
        <x:v>https://poke.idleworld.online/pokepedia/pokemon/kadabra</x:v>
      </x:c>
    </x:row>
    <x:row r="12" ht="48" customHeight="1">
      <x:c r="A12" s="82" t="n">
        <x:f>IF(U12&lt;&gt;"Rankeado","",COUNTIFS($U$5:$U$40,"Rankeado",$I$5:$I$40,"&gt;"&amp;I12)+COUNTIFS($U$5:U12,"Rankeado",$I$5:I12,I12))</x:f>
        <x:v>8</x:v>
      </x:c>
      <x:c r="B12" s="82" t="n">
        <x:f>COUNTIF($I$5:$I$40,"&gt;"&amp;I12)+COUNTIF($I$5:I12,I12)</x:f>
        <x:v>12</x:v>
      </x:c>
      <x:c r="C12" s="82" t="str">
        <x:f>IF(I12&gt;=80,"S+",IF(I12&gt;=72,"S",IF(I12&gt;=65,"A",IF(I12&gt;=58,"B",IF(I12&gt;=50,"C",IF(I12&gt;=42,"D","E"))))))</x:f>
        <x:v>B</x:v>
      </x:c>
      <x:c r="D12" s="82" t="str">
        <x:f>IF(AND(U12="Rankeado",A12&lt;=6),"Sim","Não")</x:f>
        <x:v>Não</x:v>
      </x:c>
      <x:c r="E12" s="82" t="n">
        <x:v>80</x:v>
      </x:c>
      <x:c r="F12" s="80" t="str">
        <x:v>Slowbro</x:v>
      </x:c>
      <x:c r="G12" s="82" t="str">
        <x:v>Água / Psíquico</x:v>
      </x:c>
      <x:c r="H12" s="82" t="str">
        <x:v>Especial</x:v>
      </x:c>
      <x:c r="I12" s="142" t="n">
        <x:f>ROUND(100*(Metodologia!$B$17*(Q12/Metodologia!$B$22)+Metodologia!$B$18*(R12/Metodologia!$B$23)+Metodologia!$B$19*(S12/Metodologia!$B$24)+Metodologia!$B$20*(P12/Metodologia!$B$25)+Metodologia!$B$21*(J12/Metodologia!$B$26)),2)</x:f>
        <x:v>61.86</x:v>
      </x:c>
      <x:c r="J12" s="82" t="n">
        <x:f>SUM(K12:P12)</x:f>
        <x:v>490</x:v>
      </x:c>
      <x:c r="K12" s="82" t="n">
        <x:v>95</x:v>
      </x:c>
      <x:c r="L12" s="82" t="n">
        <x:v>75</x:v>
      </x:c>
      <x:c r="M12" s="82" t="n">
        <x:v>110</x:v>
      </x:c>
      <x:c r="N12" s="82" t="n">
        <x:v>100</x:v>
      </x:c>
      <x:c r="O12" s="82" t="n">
        <x:v>80</x:v>
      </x:c>
      <x:c r="P12" s="82" t="n">
        <x:v>30</x:v>
      </x:c>
      <x:c r="Q12" s="143" t="n">
        <x:f>MAX(L12,N12)*Metodologia!$B$16</x:f>
        <x:v>130</x:v>
      </x:c>
      <x:c r="R12" s="143" t="n">
        <x:f>MIN(L12,N12)*Metodologia!$B$16</x:f>
        <x:v>97.5</x:v>
      </x:c>
      <x:c r="S12" s="143" t="n">
        <x:f>SQRT(K12*AVERAGE(M12,O12)*Metodologia!$B$16)</x:f>
        <x:v>108.3166653844181</x:v>
      </x:c>
      <x:c r="T12" s="82" t="str">
        <x:v>Sim</x:v>
      </x:c>
      <x:c r="U12" s="82" t="str">
        <x:v>Rankeado</x:v>
      </x:c>
      <x:c r="V12" s="82" t="str">
        <x:v>Perfil especial; melhor atributo ofensivo 100, ofensiva secundária 75, robustez relativa 70% e Speed 30. O índice privilegia dano de hunt, sem ignorar sobrevivência.</x:v>
      </x:c>
      <x:c r="W12" s="82" t="str">
        <x:v>Fica atrás de Kadabra principalmente por teto ofensivo 16.7% menor e velocidade 71.4% menor.</x:v>
      </x:c>
      <x:c r="X12" s="82" t="str">
        <x:v>Fica à frente de Slowking apenas pelo desempate técnico do modelo.</x:v>
      </x:c>
      <x:c r="Y12" s="154" t="str">
        <x:v>https://poke.idleworld.online/pokepedia/pokemon/slowbro</x:v>
      </x:c>
    </x:row>
    <x:row r="13" ht="48" customHeight="1">
      <x:c r="A13" s="82" t="n">
        <x:f>IF(U13&lt;&gt;"Rankeado","",COUNTIFS($U$5:$U$40,"Rankeado",$I$5:$I$40,"&gt;"&amp;I13)+COUNTIFS($U$5:U13,"Rankeado",$I$5:I13,I13))</x:f>
        <x:v>9</x:v>
      </x:c>
      <x:c r="B13" s="82" t="n">
        <x:f>COUNTIF($I$5:$I$40,"&gt;"&amp;I13)+COUNTIF($I$5:I13,I13)</x:f>
        <x:v>13</x:v>
      </x:c>
      <x:c r="C13" s="82" t="str">
        <x:f>IF(I13&gt;=80,"S+",IF(I13&gt;=72,"S",IF(I13&gt;=65,"A",IF(I13&gt;=58,"B",IF(I13&gt;=50,"C",IF(I13&gt;=42,"D","E"))))))</x:f>
        <x:v>B</x:v>
      </x:c>
      <x:c r="D13" s="82" t="str">
        <x:f>IF(AND(U13="Rankeado",A13&lt;=6),"Sim","Não")</x:f>
        <x:v>Não</x:v>
      </x:c>
      <x:c r="E13" s="82" t="n">
        <x:v>199</x:v>
      </x:c>
      <x:c r="F13" s="80" t="str">
        <x:v>Slowking</x:v>
      </x:c>
      <x:c r="G13" s="82" t="str">
        <x:v>Água / Psíquico</x:v>
      </x:c>
      <x:c r="H13" s="82" t="str">
        <x:v>Especial</x:v>
      </x:c>
      <x:c r="I13" s="142" t="n">
        <x:f>ROUND(100*(Metodologia!$B$17*(Q13/Metodologia!$B$22)+Metodologia!$B$18*(R13/Metodologia!$B$23)+Metodologia!$B$19*(S13/Metodologia!$B$24)+Metodologia!$B$20*(P13/Metodologia!$B$25)+Metodologia!$B$21*(J13/Metodologia!$B$26)),2)</x:f>
        <x:v>61.86</x:v>
      </x:c>
      <x:c r="J13" s="82" t="n">
        <x:f>SUM(K13:P13)</x:f>
        <x:v>490</x:v>
      </x:c>
      <x:c r="K13" s="82" t="n">
        <x:v>95</x:v>
      </x:c>
      <x:c r="L13" s="82" t="n">
        <x:v>75</x:v>
      </x:c>
      <x:c r="M13" s="82" t="n">
        <x:v>80</x:v>
      </x:c>
      <x:c r="N13" s="82" t="n">
        <x:v>100</x:v>
      </x:c>
      <x:c r="O13" s="82" t="n">
        <x:v>110</x:v>
      </x:c>
      <x:c r="P13" s="82" t="n">
        <x:v>30</x:v>
      </x:c>
      <x:c r="Q13" s="143" t="n">
        <x:f>MAX(L13,N13)*Metodologia!$B$16</x:f>
        <x:v>130</x:v>
      </x:c>
      <x:c r="R13" s="143" t="n">
        <x:f>MIN(L13,N13)*Metodologia!$B$16</x:f>
        <x:v>97.5</x:v>
      </x:c>
      <x:c r="S13" s="143" t="n">
        <x:f>SQRT(K13*AVERAGE(M13,O13)*Metodologia!$B$16)</x:f>
        <x:v>108.3166653844181</x:v>
      </x:c>
      <x:c r="T13" s="82" t="str">
        <x:v>Não</x:v>
      </x:c>
      <x:c r="U13" s="82" t="str">
        <x:v>Rankeado</x:v>
      </x:c>
      <x:c r="V13" s="82" t="str">
        <x:v>Perfil especial; melhor atributo ofensivo 100, ofensiva secundária 75, robustez relativa 70% e Speed 30. O índice privilegia dano de hunt, sem ignorar sobrevivência.</x:v>
      </x:c>
      <x:c r="W13" s="82" t="str">
        <x:v>Fica atrás de Slowbro apenas pelo desempate técnico do modelo.</x:v>
      </x:c>
      <x:c r="X13" s="82" t="str">
        <x:v>Fica à frente de Xatu porque possui robustez sustentada 40.8% maior e teto ofensivo 5.3% maior.</x:v>
      </x:c>
      <x:c r="Y13" s="154" t="str">
        <x:v>https://poke.idleworld.online/pokepedia/pokemon/slowking</x:v>
      </x:c>
    </x:row>
    <x:row r="14" ht="48" customHeight="1">
      <x:c r="A14" s="82" t="n">
        <x:f>IF(U14&lt;&gt;"Rankeado","",COUNTIFS($U$5:$U$40,"Rankeado",$I$5:$I$40,"&gt;"&amp;I14)+COUNTIFS($U$5:U14,"Rankeado",$I$5:I14,I14))</x:f>
        <x:v>10</x:v>
      </x:c>
      <x:c r="B14" s="82" t="n">
        <x:f>COUNTIF($I$5:$I$40,"&gt;"&amp;I14)+COUNTIF($I$5:I14,I14)</x:f>
        <x:v>14</x:v>
      </x:c>
      <x:c r="C14" s="82" t="str">
        <x:f>IF(I14&gt;=80,"S+",IF(I14&gt;=72,"S",IF(I14&gt;=65,"A",IF(I14&gt;=58,"B",IF(I14&gt;=50,"C",IF(I14&gt;=42,"D","E"))))))</x:f>
        <x:v>B</x:v>
      </x:c>
      <x:c r="D14" s="82" t="str">
        <x:f>IF(AND(U14="Rankeado",A14&lt;=6),"Sim","Não")</x:f>
        <x:v>Não</x:v>
      </x:c>
      <x:c r="E14" s="82" t="n">
        <x:v>178</x:v>
      </x:c>
      <x:c r="F14" s="80" t="str">
        <x:v>Xatu</x:v>
      </x:c>
      <x:c r="G14" s="82" t="str">
        <x:v>Psíquico / Voador</x:v>
      </x:c>
      <x:c r="H14" s="82" t="str">
        <x:v>Especial</x:v>
      </x:c>
      <x:c r="I14" s="142" t="n">
        <x:f>ROUND(100*(Metodologia!$B$17*(Q14/Metodologia!$B$22)+Metodologia!$B$18*(R14/Metodologia!$B$23)+Metodologia!$B$19*(S14/Metodologia!$B$24)+Metodologia!$B$20*(P14/Metodologia!$B$25)+Metodologia!$B$21*(J14/Metodologia!$B$26)),2)</x:f>
        <x:v>61.06</x:v>
      </x:c>
      <x:c r="J14" s="82" t="n">
        <x:f>SUM(K14:P14)</x:f>
        <x:v>470</x:v>
      </x:c>
      <x:c r="K14" s="82" t="n">
        <x:v>65</x:v>
      </x:c>
      <x:c r="L14" s="82" t="n">
        <x:v>75</x:v>
      </x:c>
      <x:c r="M14" s="82" t="n">
        <x:v>70</x:v>
      </x:c>
      <x:c r="N14" s="82" t="n">
        <x:v>95</x:v>
      </x:c>
      <x:c r="O14" s="82" t="n">
        <x:v>70</x:v>
      </x:c>
      <x:c r="P14" s="82" t="n">
        <x:v>95</x:v>
      </x:c>
      <x:c r="Q14" s="143" t="n">
        <x:f>MAX(L14,N14)*Metodologia!$B$16</x:f>
        <x:v>123.5</x:v>
      </x:c>
      <x:c r="R14" s="143" t="n">
        <x:f>MIN(L14,N14)*Metodologia!$B$16</x:f>
        <x:v>97.5</x:v>
      </x:c>
      <x:c r="S14" s="143" t="n">
        <x:f>SQRT(K14*AVERAGE(M14,O14)*Metodologia!$B$16)</x:f>
        <x:v>76.909037180295</x:v>
      </x:c>
      <x:c r="T14" s="82" t="str">
        <x:v>Sim</x:v>
      </x:c>
      <x:c r="U14" s="82" t="str">
        <x:v>Rankeado</x:v>
      </x:c>
      <x:c r="V14" s="82" t="str">
        <x:v>Perfil especial; melhor atributo ofensivo 95, ofensiva secundária 75, robustez relativa 50% e Speed 95. O índice privilegia dano de hunt, sem ignorar sobrevivência.</x:v>
      </x:c>
      <x:c r="W14" s="82" t="str">
        <x:v>Fica atrás de Slowking principalmente por robustez sustentada 29.0% menor e teto ofensivo 5.0% menor.</x:v>
      </x:c>
      <x:c r="X14" s="82" t="str">
        <x:v>Fica à frente de Clefable porque possui velocidade 58.3% maior e ofensiva secundária 7.1% maior.</x:v>
      </x:c>
      <x:c r="Y14" s="154" t="str">
        <x:v>https://poke.idleworld.online/pokepedia/pokemon/xatu</x:v>
      </x:c>
    </x:row>
    <x:row r="15" ht="48" customHeight="1">
      <x:c r="A15" s="82" t="n">
        <x:f>IF(U15&lt;&gt;"Rankeado","",COUNTIFS($U$5:$U$40,"Rankeado",$I$5:$I$40,"&gt;"&amp;I15)+COUNTIFS($U$5:U15,"Rankeado",$I$5:I15,I15))</x:f>
        <x:v>11</x:v>
      </x:c>
      <x:c r="B15" s="82" t="n">
        <x:f>COUNTIF($I$5:$I$40,"&gt;"&amp;I15)+COUNTIF($I$5:I15,I15)</x:f>
        <x:v>15</x:v>
      </x:c>
      <x:c r="C15" s="82" t="str">
        <x:f>IF(I15&gt;=80,"S+",IF(I15&gt;=72,"S",IF(I15&gt;=65,"A",IF(I15&gt;=58,"B",IF(I15&gt;=50,"C",IF(I15&gt;=42,"D","E"))))))</x:f>
        <x:v>B</x:v>
      </x:c>
      <x:c r="D15" s="82" t="str">
        <x:f>IF(AND(U15="Rankeado",A15&lt;=6),"Sim","Não")</x:f>
        <x:v>Não</x:v>
      </x:c>
      <x:c r="E15" s="82" t="n">
        <x:v>36</x:v>
      </x:c>
      <x:c r="F15" s="80" t="str">
        <x:v>Clefable</x:v>
      </x:c>
      <x:c r="G15" s="82" t="str">
        <x:v>Fada</x:v>
      </x:c>
      <x:c r="H15" s="82" t="str">
        <x:v>Especial</x:v>
      </x:c>
      <x:c r="I15" s="142" t="n">
        <x:f>ROUND(100*(Metodologia!$B$17*(Q15/Metodologia!$B$22)+Metodologia!$B$18*(R15/Metodologia!$B$23)+Metodologia!$B$19*(S15/Metodologia!$B$24)+Metodologia!$B$20*(P15/Metodologia!$B$25)+Metodologia!$B$21*(J15/Metodologia!$B$26)),2)</x:f>
        <x:v>60.64</x:v>
      </x:c>
      <x:c r="J15" s="82" t="n">
        <x:f>SUM(K15:P15)</x:f>
        <x:v>483</x:v>
      </x:c>
      <x:c r="K15" s="82" t="n">
        <x:v>95</x:v>
      </x:c>
      <x:c r="L15" s="82" t="n">
        <x:v>70</x:v>
      </x:c>
      <x:c r="M15" s="82" t="n">
        <x:v>73</x:v>
      </x:c>
      <x:c r="N15" s="82" t="n">
        <x:v>95</x:v>
      </x:c>
      <x:c r="O15" s="82" t="n">
        <x:v>90</x:v>
      </x:c>
      <x:c r="P15" s="82" t="n">
        <x:v>60</x:v>
      </x:c>
      <x:c r="Q15" s="143" t="n">
        <x:f>MAX(L15,N15)*Metodologia!$B$16</x:f>
        <x:v>123.5</x:v>
      </x:c>
      <x:c r="R15" s="143" t="n">
        <x:f>MIN(L15,N15)*Metodologia!$B$16</x:f>
        <x:v>91</x:v>
      </x:c>
      <x:c r="S15" s="143" t="n">
        <x:f>SQRT(K15*AVERAGE(M15,O15)*Metodologia!$B$16)</x:f>
        <x:v>100.32571953392609</x:v>
      </x:c>
      <x:c r="T15" s="82" t="str">
        <x:v>Sim</x:v>
      </x:c>
      <x:c r="U15" s="82" t="str">
        <x:v>Rankeado</x:v>
      </x:c>
      <x:c r="V15" s="82" t="str">
        <x:v>Perfil especial; melhor atributo ofensivo 95, ofensiva secundária 70, robustez relativa 65% e Speed 60. O índice privilegia dano de hunt, sem ignorar sobrevivência.</x:v>
      </x:c>
      <x:c r="W15" s="82" t="str">
        <x:v>Fica atrás de Xatu principalmente por velocidade 36.8% menor e ofensiva secundária 6.7% menor.</x:v>
      </x:c>
      <x:c r="X15" s="82" t="str">
        <x:v>Fica à frente de Mr. Mime porque possui robustez sustentada 44.7% maior e ofensiva secundária 55.6% maior.</x:v>
      </x:c>
      <x:c r="Y15" s="154" t="str">
        <x:v>https://poke.idleworld.online/pokepedia/pokemon/clefable</x:v>
      </x:c>
    </x:row>
    <x:row r="16" ht="48" customHeight="1">
      <x:c r="A16" s="82" t="n">
        <x:f>IF(U16&lt;&gt;"Rankeado","",COUNTIFS($U$5:$U$40,"Rankeado",$I$5:$I$40,"&gt;"&amp;I16)+COUNTIFS($U$5:U16,"Rankeado",$I$5:I16,I16))</x:f>
        <x:v>12</x:v>
      </x:c>
      <x:c r="B16" s="82" t="n">
        <x:f>COUNTIF($I$5:$I$40,"&gt;"&amp;I16)+COUNTIF($I$5:I16,I16)</x:f>
        <x:v>16</x:v>
      </x:c>
      <x:c r="C16" s="82" t="str">
        <x:f>IF(I16&gt;=80,"S+",IF(I16&gt;=72,"S",IF(I16&gt;=65,"A",IF(I16&gt;=58,"B",IF(I16&gt;=50,"C",IF(I16&gt;=42,"D","E"))))))</x:f>
        <x:v>B</x:v>
      </x:c>
      <x:c r="D16" s="82" t="str">
        <x:f>IF(AND(U16="Rankeado",A16&lt;=6),"Sim","Não")</x:f>
        <x:v>Não</x:v>
      </x:c>
      <x:c r="E16" s="82" t="n">
        <x:v>122</x:v>
      </x:c>
      <x:c r="F16" s="80" t="str">
        <x:v>Mr. Mime</x:v>
      </x:c>
      <x:c r="G16" s="82" t="str">
        <x:v>Psíquico / Fada</x:v>
      </x:c>
      <x:c r="H16" s="82" t="str">
        <x:v>Especial</x:v>
      </x:c>
      <x:c r="I16" s="142" t="n">
        <x:f>ROUND(100*(Metodologia!$B$17*(Q16/Metodologia!$B$22)+Metodologia!$B$18*(R16/Metodologia!$B$23)+Metodologia!$B$19*(S16/Metodologia!$B$24)+Metodologia!$B$20*(P16/Metodologia!$B$25)+Metodologia!$B$21*(J16/Metodologia!$B$26)),2)</x:f>
        <x:v>59.14</x:v>
      </x:c>
      <x:c r="J16" s="82" t="n">
        <x:f>SUM(K16:P16)</x:f>
        <x:v>460</x:v>
      </x:c>
      <x:c r="K16" s="82" t="n">
        <x:v>40</x:v>
      </x:c>
      <x:c r="L16" s="82" t="n">
        <x:v>45</x:v>
      </x:c>
      <x:c r="M16" s="82" t="n">
        <x:v>65</x:v>
      </x:c>
      <x:c r="N16" s="82" t="n">
        <x:v>100</x:v>
      </x:c>
      <x:c r="O16" s="82" t="n">
        <x:v>120</x:v>
      </x:c>
      <x:c r="P16" s="82" t="n">
        <x:v>90</x:v>
      </x:c>
      <x:c r="Q16" s="143" t="n">
        <x:f>MAX(L16,N16)*Metodologia!$B$16</x:f>
        <x:v>130</x:v>
      </x:c>
      <x:c r="R16" s="143" t="n">
        <x:f>MIN(L16,N16)*Metodologia!$B$16</x:f>
        <x:v>58.5</x:v>
      </x:c>
      <x:c r="S16" s="143" t="n">
        <x:f>SQRT(K16*AVERAGE(M16,O16)*Metodologia!$B$16)</x:f>
        <x:v>69.35416353759881</x:v>
      </x:c>
      <x:c r="T16" s="82" t="str">
        <x:v>Sim</x:v>
      </x:c>
      <x:c r="U16" s="82" t="str">
        <x:v>Rankeado</x:v>
      </x:c>
      <x:c r="V16" s="82" t="str">
        <x:v>Perfil especial; melhor atributo ofensivo 100, ofensiva secundária 45, robustez relativa 45% e Speed 90. O índice privilegia dano de hunt, sem ignorar sobrevivência.</x:v>
      </x:c>
      <x:c r="W16" s="82" t="str">
        <x:v>Fica atrás de Clefable principalmente por robustez sustentada 30.9% menor e ofensiva secundária 35.7% menor.</x:v>
      </x:c>
      <x:c r="X16" s="82" t="str">
        <x:v>Fica à frente de Girafarig porque possui teto ofensivo 11.1% maior e velocidade 5.9% maior.</x:v>
      </x:c>
      <x:c r="Y16" s="154" t="str">
        <x:v>https://poke.idleworld.online/pokepedia/pokemon/mr-mime</x:v>
      </x:c>
    </x:row>
    <x:row r="17" ht="48" customHeight="1">
      <x:c r="A17" s="82" t="n">
        <x:f>IF(U17&lt;&gt;"Rankeado","",COUNTIFS($U$5:$U$40,"Rankeado",$I$5:$I$40,"&gt;"&amp;I17)+COUNTIFS($U$5:U17,"Rankeado",$I$5:I17,I17))</x:f>
        <x:v>13</x:v>
      </x:c>
      <x:c r="B17" s="82" t="n">
        <x:f>COUNTIF($I$5:$I$40,"&gt;"&amp;I17)+COUNTIF($I$5:I17,I17)</x:f>
        <x:v>17</x:v>
      </x:c>
      <x:c r="C17" s="82" t="str">
        <x:f>IF(I17&gt;=80,"S+",IF(I17&gt;=72,"S",IF(I17&gt;=65,"A",IF(I17&gt;=58,"B",IF(I17&gt;=50,"C",IF(I17&gt;=42,"D","E"))))))</x:f>
        <x:v>B</x:v>
      </x:c>
      <x:c r="D17" s="82" t="str">
        <x:f>IF(AND(U17="Rankeado",A17&lt;=6),"Sim","Não")</x:f>
        <x:v>Não</x:v>
      </x:c>
      <x:c r="E17" s="82" t="n">
        <x:v>203</x:v>
      </x:c>
      <x:c r="F17" s="80" t="str">
        <x:v>Girafarig</x:v>
      </x:c>
      <x:c r="G17" s="82" t="str">
        <x:v>Normal / Psíquico</x:v>
      </x:c>
      <x:c r="H17" s="82" t="str">
        <x:v>Misto</x:v>
      </x:c>
      <x:c r="I17" s="142" t="n">
        <x:f>ROUND(100*(Metodologia!$B$17*(Q17/Metodologia!$B$22)+Metodologia!$B$18*(R17/Metodologia!$B$23)+Metodologia!$B$19*(S17/Metodologia!$B$24)+Metodologia!$B$20*(P17/Metodologia!$B$25)+Metodologia!$B$21*(J17/Metodologia!$B$26)),2)</x:f>
        <x:v>58.79</x:v>
      </x:c>
      <x:c r="J17" s="82" t="n">
        <x:f>SUM(K17:P17)</x:f>
        <x:v>455</x:v>
      </x:c>
      <x:c r="K17" s="82" t="n">
        <x:v>70</x:v>
      </x:c>
      <x:c r="L17" s="82" t="n">
        <x:v>80</x:v>
      </x:c>
      <x:c r="M17" s="82" t="n">
        <x:v>65</x:v>
      </x:c>
      <x:c r="N17" s="82" t="n">
        <x:v>90</x:v>
      </x:c>
      <x:c r="O17" s="82" t="n">
        <x:v>65</x:v>
      </x:c>
      <x:c r="P17" s="82" t="n">
        <x:v>85</x:v>
      </x:c>
      <x:c r="Q17" s="143" t="n">
        <x:f>MAX(L17,N17)*Metodologia!$B$16</x:f>
        <x:v>117</x:v>
      </x:c>
      <x:c r="R17" s="143" t="n">
        <x:f>MIN(L17,N17)*Metodologia!$B$16</x:f>
        <x:v>104</x:v>
      </x:c>
      <x:c r="S17" s="143" t="n">
        <x:f>SQRT(K17*AVERAGE(M17,O17)*Metodologia!$B$16)</x:f>
        <x:v>76.909037180295</x:v>
      </x:c>
      <x:c r="T17" s="82" t="str">
        <x:v>Sim</x:v>
      </x:c>
      <x:c r="U17" s="82" t="str">
        <x:v>Rankeado</x:v>
      </x:c>
      <x:c r="V17" s="82" t="str">
        <x:v>Perfil misto; melhor atributo ofensivo 90, ofensiva secundária 80, robustez relativa 50% e Speed 85. O índice privilegia dano de hunt, sem ignorar sobrevivência.</x:v>
      </x:c>
      <x:c r="W17" s="82" t="str">
        <x:v>Fica atrás de Mr. Mime principalmente por teto ofensivo 10.0% menor e velocidade 5.6% menor.</x:v>
      </x:c>
      <x:c r="X17" s="82" t="str">
        <x:v>Fica à frente de Wigglytuff porque possui velocidade 88.9% maior e teto ofensivo 5.9% maior.</x:v>
      </x:c>
      <x:c r="Y17" s="154" t="str">
        <x:v>https://poke.idleworld.online/pokepedia/pokemon/girafarig</x:v>
      </x:c>
    </x:row>
    <x:row r="18" ht="48" customHeight="1">
      <x:c r="A18" s="82" t="n">
        <x:f>IF(U18&lt;&gt;"Rankeado","",COUNTIFS($U$5:$U$40,"Rankeado",$I$5:$I$40,"&gt;"&amp;I18)+COUNTIFS($U$5:U18,"Rankeado",$I$5:I18,I18))</x:f>
        <x:v>14</x:v>
      </x:c>
      <x:c r="B18" s="82" t="n">
        <x:f>COUNTIF($I$5:$I$40,"&gt;"&amp;I18)+COUNTIF($I$5:I18,I18)</x:f>
        <x:v>18</x:v>
      </x:c>
      <x:c r="C18" s="82" t="str">
        <x:f>IF(I18&gt;=80,"S+",IF(I18&gt;=72,"S",IF(I18&gt;=65,"A",IF(I18&gt;=58,"B",IF(I18&gt;=50,"C",IF(I18&gt;=42,"D","E"))))))</x:f>
        <x:v>C</x:v>
      </x:c>
      <x:c r="D18" s="82" t="str">
        <x:f>IF(AND(U18="Rankeado",A18&lt;=6),"Sim","Não")</x:f>
        <x:v>Não</x:v>
      </x:c>
      <x:c r="E18" s="82" t="n">
        <x:v>40</x:v>
      </x:c>
      <x:c r="F18" s="80" t="str">
        <x:v>Wigglytuff</x:v>
      </x:c>
      <x:c r="G18" s="82" t="str">
        <x:v>Normal / Fada</x:v>
      </x:c>
      <x:c r="H18" s="82" t="str">
        <x:v>Especial</x:v>
      </x:c>
      <x:c r="I18" s="142" t="n">
        <x:f>ROUND(100*(Metodologia!$B$17*(Q18/Metodologia!$B$22)+Metodologia!$B$18*(R18/Metodologia!$B$23)+Metodologia!$B$19*(S18/Metodologia!$B$24)+Metodologia!$B$20*(P18/Metodologia!$B$25)+Metodologia!$B$21*(J18/Metodologia!$B$26)),2)</x:f>
        <x:v>54.68</x:v>
      </x:c>
      <x:c r="J18" s="82" t="n">
        <x:f>SUM(K18:P18)</x:f>
        <x:v>435</x:v>
      </x:c>
      <x:c r="K18" s="82" t="n">
        <x:v>140</x:v>
      </x:c>
      <x:c r="L18" s="82" t="n">
        <x:v>70</x:v>
      </x:c>
      <x:c r="M18" s="82" t="n">
        <x:v>45</x:v>
      </x:c>
      <x:c r="N18" s="82" t="n">
        <x:v>85</x:v>
      </x:c>
      <x:c r="O18" s="82" t="n">
        <x:v>50</x:v>
      </x:c>
      <x:c r="P18" s="82" t="n">
        <x:v>45</x:v>
      </x:c>
      <x:c r="Q18" s="143" t="n">
        <x:f>MAX(L18,N18)*Metodologia!$B$16</x:f>
        <x:v>110.5</x:v>
      </x:c>
      <x:c r="R18" s="143" t="n">
        <x:f>MIN(L18,N18)*Metodologia!$B$16</x:f>
        <x:v>91</x:v>
      </x:c>
      <x:c r="S18" s="143" t="n">
        <x:f>SQRT(K18*AVERAGE(M18,O18)*Metodologia!$B$16)</x:f>
        <x:v>92.97849213662265</x:v>
      </x:c>
      <x:c r="T18" s="82" t="str">
        <x:v>Sim</x:v>
      </x:c>
      <x:c r="U18" s="82" t="str">
        <x:v>Rankeado</x:v>
      </x:c>
      <x:c r="V18" s="82" t="str">
        <x:v>Perfil especial; melhor atributo ofensivo 85, ofensiva secundária 70, robustez relativa 60% e Speed 45. O índice privilegia dano de hunt, sem ignorar sobrevivência.</x:v>
      </x:c>
      <x:c r="W18" s="82" t="str">
        <x:v>Fica atrás de Girafarig principalmente por velocidade 47.1% menor e teto ofensivo 5.6% menor.</x:v>
      </x:c>
      <x:c r="X18" s="82" t="str">
        <x:v>Fica à frente de Abra porque possui robustez sustentada 175.7% maior e ofensiva secundária 250.0% maior.</x:v>
      </x:c>
      <x:c r="Y18" s="154" t="str">
        <x:v>https://poke.idleworld.online/pokepedia/pokemon/wigglytuff</x:v>
      </x:c>
    </x:row>
    <x:row r="19" ht="48" customHeight="1">
      <x:c r="A19" s="82" t="n">
        <x:f>IF(U19&lt;&gt;"Rankeado","",COUNTIFS($U$5:$U$40,"Rankeado",$I$5:$I$40,"&gt;"&amp;I19)+COUNTIFS($U$5:U19,"Rankeado",$I$5:I19,I19))</x:f>
        <x:v>15</x:v>
      </x:c>
      <x:c r="B19" s="82" t="n">
        <x:f>COUNTIF($I$5:$I$40,"&gt;"&amp;I19)+COUNTIF($I$5:I19,I19)</x:f>
        <x:v>19</x:v>
      </x:c>
      <x:c r="C19" s="82" t="str">
        <x:f>IF(I19&gt;=80,"S+",IF(I19&gt;=72,"S",IF(I19&gt;=65,"A",IF(I19&gt;=58,"B",IF(I19&gt;=50,"C",IF(I19&gt;=42,"D","E"))))))</x:f>
        <x:v>C</x:v>
      </x:c>
      <x:c r="D19" s="82" t="str">
        <x:f>IF(AND(U19="Rankeado",A19&lt;=6),"Sim","Não")</x:f>
        <x:v>Não</x:v>
      </x:c>
      <x:c r="E19" s="82" t="n">
        <x:v>63</x:v>
      </x:c>
      <x:c r="F19" s="80" t="str">
        <x:v>Abra</x:v>
      </x:c>
      <x:c r="G19" s="82" t="str">
        <x:v>Psíquico</x:v>
      </x:c>
      <x:c r="H19" s="82" t="str">
        <x:v>Especial</x:v>
      </x:c>
      <x:c r="I19" s="142" t="n">
        <x:f>ROUND(100*(Metodologia!$B$17*(Q19/Metodologia!$B$22)+Metodologia!$B$18*(R19/Metodologia!$B$23)+Metodologia!$B$19*(S19/Metodologia!$B$24)+Metodologia!$B$20*(P19/Metodologia!$B$25)+Metodologia!$B$21*(J19/Metodologia!$B$26)),2)</x:f>
        <x:v>54.27</x:v>
      </x:c>
      <x:c r="J19" s="82" t="n">
        <x:f>SUM(K19:P19)</x:f>
        <x:v>310</x:v>
      </x:c>
      <x:c r="K19" s="82" t="n">
        <x:v>25</x:v>
      </x:c>
      <x:c r="L19" s="82" t="n">
        <x:v>20</x:v>
      </x:c>
      <x:c r="M19" s="82" t="n">
        <x:v>15</x:v>
      </x:c>
      <x:c r="N19" s="82" t="n">
        <x:v>105</x:v>
      </x:c>
      <x:c r="O19" s="82" t="n">
        <x:v>55</x:v>
      </x:c>
      <x:c r="P19" s="82" t="n">
        <x:v>90</x:v>
      </x:c>
      <x:c r="Q19" s="143" t="n">
        <x:f>MAX(L19,N19)*Metodologia!$B$16</x:f>
        <x:v>136.5</x:v>
      </x:c>
      <x:c r="R19" s="143" t="n">
        <x:f>MIN(L19,N19)*Metodologia!$B$16</x:f>
        <x:v>26</x:v>
      </x:c>
      <x:c r="S19" s="143" t="n">
        <x:f>SQRT(K19*AVERAGE(M19,O19)*Metodologia!$B$16)</x:f>
        <x:v>33.726843908080106</x:v>
      </x:c>
      <x:c r="T19" s="82" t="str">
        <x:v>Sim</x:v>
      </x:c>
      <x:c r="U19" s="82" t="str">
        <x:v>Rankeado</x:v>
      </x:c>
      <x:c r="V19" s="82" t="str">
        <x:v>Perfil especial; melhor atributo ofensivo 105, ofensiva secundária 20, robustez relativa 22% e Speed 90. O índice privilegia dano de hunt, sem ignorar sobrevivência.</x:v>
      </x:c>
      <x:c r="W19" s="82" t="str">
        <x:v>Fica atrás de Wigglytuff principalmente por robustez sustentada 63.7% menor e ofensiva secundária 71.4% menor.</x:v>
      </x:c>
      <x:c r="X19" s="82" t="str">
        <x:v>Fica à frente de Hypno porque possui teto ofensivo 43.8% maior e velocidade 34.3% maior.</x:v>
      </x:c>
      <x:c r="Y19" s="154" t="str">
        <x:v>https://poke.idleworld.online/pokepedia/pokemon/abra</x:v>
      </x:c>
    </x:row>
    <x:row r="20" ht="48" customHeight="1">
      <x:c r="A20" s="82" t="n">
        <x:f>IF(U20&lt;&gt;"Rankeado","",COUNTIFS($U$5:$U$40,"Rankeado",$I$5:$I$40,"&gt;"&amp;I20)+COUNTIFS($U$5:U20,"Rankeado",$I$5:I20,I20))</x:f>
        <x:v>16</x:v>
      </x:c>
      <x:c r="B20" s="82" t="n">
        <x:f>COUNTIF($I$5:$I$40,"&gt;"&amp;I20)+COUNTIF($I$5:I20,I20)</x:f>
        <x:v>20</x:v>
      </x:c>
      <x:c r="C20" s="82" t="str">
        <x:f>IF(I20&gt;=80,"S+",IF(I20&gt;=72,"S",IF(I20&gt;=65,"A",IF(I20&gt;=58,"B",IF(I20&gt;=50,"C",IF(I20&gt;=42,"D","E"))))))</x:f>
        <x:v>C</x:v>
      </x:c>
      <x:c r="D20" s="82" t="str">
        <x:f>IF(AND(U20="Rankeado",A20&lt;=6),"Sim","Não")</x:f>
        <x:v>Não</x:v>
      </x:c>
      <x:c r="E20" s="82" t="n">
        <x:v>97</x:v>
      </x:c>
      <x:c r="F20" s="80" t="str">
        <x:v>Hypno</x:v>
      </x:c>
      <x:c r="G20" s="82" t="str">
        <x:v>Psíquico</x:v>
      </x:c>
      <x:c r="H20" s="82" t="str">
        <x:v>Misto</x:v>
      </x:c>
      <x:c r="I20" s="142" t="n">
        <x:f>ROUND(100*(Metodologia!$B$17*(Q20/Metodologia!$B$22)+Metodologia!$B$18*(R20/Metodologia!$B$23)+Metodologia!$B$19*(S20/Metodologia!$B$24)+Metodologia!$B$20*(P20/Metodologia!$B$25)+Metodologia!$B$21*(J20/Metodologia!$B$26)),2)</x:f>
        <x:v>52.88</x:v>
      </x:c>
      <x:c r="J20" s="82" t="n">
        <x:f>SUM(K20:P20)</x:f>
        <x:v>483</x:v>
      </x:c>
      <x:c r="K20" s="82" t="n">
        <x:v>85</x:v>
      </x:c>
      <x:c r="L20" s="82" t="n">
        <x:v>73</x:v>
      </x:c>
      <x:c r="M20" s="82" t="n">
        <x:v>70</x:v>
      </x:c>
      <x:c r="N20" s="82" t="n">
        <x:v>73</x:v>
      </x:c>
      <x:c r="O20" s="82" t="n">
        <x:v>115</x:v>
      </x:c>
      <x:c r="P20" s="82" t="n">
        <x:v>67</x:v>
      </x:c>
      <x:c r="Q20" s="143" t="n">
        <x:f>MAX(L20,N20)*Metodologia!$B$16</x:f>
        <x:v>94.9</x:v>
      </x:c>
      <x:c r="R20" s="143" t="n">
        <x:f>MIN(L20,N20)*Metodologia!$B$16</x:f>
        <x:v>94.9</x:v>
      </x:c>
      <x:c r="S20" s="143" t="n">
        <x:f>SQRT(K20*AVERAGE(M20,O20)*Metodologia!$B$16)</x:f>
        <x:v>101.10019782374316</x:v>
      </x:c>
      <x:c r="T20" s="82" t="str">
        <x:v>Sim</x:v>
      </x:c>
      <x:c r="U20" s="82" t="str">
        <x:v>Rankeado</x:v>
      </x:c>
      <x:c r="V20" s="82" t="str">
        <x:v>Perfil misto; melhor atributo ofensivo 73, ofensiva secundária 73, robustez relativa 65% e Speed 67. O índice privilegia dano de hunt, sem ignorar sobrevivência.</x:v>
      </x:c>
      <x:c r="W20" s="82" t="str">
        <x:v>Fica atrás de Abra principalmente por teto ofensivo 30.5% menor e velocidade 25.6% menor.</x:v>
      </x:c>
      <x:c r="X20" s="82" t="str">
        <x:v>Fica à frente de Togetic porque possui ofensiva secundária 82.5% maior e robustez sustentada 22.7% maior.</x:v>
      </x:c>
      <x:c r="Y20" s="154" t="str">
        <x:v>https://poke.idleworld.online/pokepedia/pokemon/hypno</x:v>
      </x:c>
    </x:row>
    <x:row r="21" ht="48" customHeight="1">
      <x:c r="A21" s="82" t="n">
        <x:f>IF(U21&lt;&gt;"Rankeado","",COUNTIFS($U$5:$U$40,"Rankeado",$I$5:$I$40,"&gt;"&amp;I21)+COUNTIFS($U$5:U21,"Rankeado",$I$5:I21,I21))</x:f>
        <x:v>17</x:v>
      </x:c>
      <x:c r="B21" s="82" t="n">
        <x:f>COUNTIF($I$5:$I$40,"&gt;"&amp;I21)+COUNTIF($I$5:I21,I21)</x:f>
        <x:v>21</x:v>
      </x:c>
      <x:c r="C21" s="82" t="str">
        <x:f>IF(I21&gt;=80,"S+",IF(I21&gt;=72,"S",IF(I21&gt;=65,"A",IF(I21&gt;=58,"B",IF(I21&gt;=50,"C",IF(I21&gt;=42,"D","E"))))))</x:f>
        <x:v>D</x:v>
      </x:c>
      <x:c r="D21" s="82" t="str">
        <x:f>IF(AND(U21="Rankeado",A21&lt;=6),"Sim","Não")</x:f>
        <x:v>Não</x:v>
      </x:c>
      <x:c r="E21" s="82" t="n">
        <x:v>176</x:v>
      </x:c>
      <x:c r="F21" s="80" t="str">
        <x:v>Togetic</x:v>
      </x:c>
      <x:c r="G21" s="82" t="str">
        <x:v>Fada / Voador</x:v>
      </x:c>
      <x:c r="H21" s="82" t="str">
        <x:v>Especial</x:v>
      </x:c>
      <x:c r="I21" s="142" t="n">
        <x:f>ROUND(100*(Metodologia!$B$17*(Q21/Metodologia!$B$22)+Metodologia!$B$18*(R21/Metodologia!$B$23)+Metodologia!$B$19*(S21/Metodologia!$B$24)+Metodologia!$B$20*(P21/Metodologia!$B$25)+Metodologia!$B$21*(J21/Metodologia!$B$26)),2)</x:f>
        <x:v>48.42</x:v>
      </x:c>
      <x:c r="J21" s="82" t="n">
        <x:f>SUM(K21:P21)</x:f>
        <x:v>405</x:v>
      </x:c>
      <x:c r="K21" s="82" t="n">
        <x:v>55</x:v>
      </x:c>
      <x:c r="L21" s="82" t="n">
        <x:v>40</x:v>
      </x:c>
      <x:c r="M21" s="82" t="n">
        <x:v>85</x:v>
      </x:c>
      <x:c r="N21" s="82" t="n">
        <x:v>80</x:v>
      </x:c>
      <x:c r="O21" s="82" t="n">
        <x:v>105</x:v>
      </x:c>
      <x:c r="P21" s="82" t="n">
        <x:v>40</x:v>
      </x:c>
      <x:c r="Q21" s="143" t="n">
        <x:f>MAX(L21,N21)*Metodologia!$B$16</x:f>
        <x:v>104</x:v>
      </x:c>
      <x:c r="R21" s="143" t="n">
        <x:f>MIN(L21,N21)*Metodologia!$B$16</x:f>
        <x:v>52</x:v>
      </x:c>
      <x:c r="S21" s="143" t="n">
        <x:f>SQRT(K21*AVERAGE(M21,O21)*Metodologia!$B$16)</x:f>
        <x:v>82.41662453655816</x:v>
      </x:c>
      <x:c r="T21" s="82" t="str">
        <x:v>Não</x:v>
      </x:c>
      <x:c r="U21" s="82" t="str">
        <x:v>Rankeado</x:v>
      </x:c>
      <x:c r="V21" s="82" t="str">
        <x:v>Perfil especial; melhor atributo ofensivo 80, ofensiva secundária 40, robustez relativa 53% e Speed 40. O índice privilegia dano de hunt, sem ignorar sobrevivência.</x:v>
      </x:c>
      <x:c r="W21" s="82" t="str">
        <x:v>Fica atrás de Hypno principalmente por ofensiva secundária 45.2% menor e robustez sustentada 18.5% menor.</x:v>
      </x:c>
      <x:c r="X21" s="82" t="str">
        <x:v>Fica à frente de Smoochum porque possui robustez sustentada 70.4% maior e ofensiva secundária 33.3% maior.</x:v>
      </x:c>
      <x:c r="Y21" s="154" t="str">
        <x:v>https://poke.idleworld.online/pokepedia/pokemon/togetic</x:v>
      </x:c>
    </x:row>
    <x:row r="22" ht="48" customHeight="1">
      <x:c r="A22" s="82" t="n">
        <x:f>IF(U22&lt;&gt;"Rankeado","",COUNTIFS($U$5:$U$40,"Rankeado",$I$5:$I$40,"&gt;"&amp;I22)+COUNTIFS($U$5:U22,"Rankeado",$I$5:I22,I22))</x:f>
        <x:v>18</x:v>
      </x:c>
      <x:c r="B22" s="82" t="n">
        <x:f>COUNTIF($I$5:$I$40,"&gt;"&amp;I22)+COUNTIF($I$5:I22,I22)</x:f>
        <x:v>22</x:v>
      </x:c>
      <x:c r="C22" s="82" t="str">
        <x:f>IF(I22&gt;=80,"S+",IF(I22&gt;=72,"S",IF(I22&gt;=65,"A",IF(I22&gt;=58,"B",IF(I22&gt;=50,"C",IF(I22&gt;=42,"D","E"))))))</x:f>
        <x:v>D</x:v>
      </x:c>
      <x:c r="D22" s="82" t="str">
        <x:f>IF(AND(U22="Rankeado",A22&lt;=6),"Sim","Não")</x:f>
        <x:v>Não</x:v>
      </x:c>
      <x:c r="E22" s="82" t="n">
        <x:v>238</x:v>
      </x:c>
      <x:c r="F22" s="80" t="str">
        <x:v>Smoochum</x:v>
      </x:c>
      <x:c r="G22" s="82" t="str">
        <x:v>Gelo / Psíquico</x:v>
      </x:c>
      <x:c r="H22" s="82" t="str">
        <x:v>Especial</x:v>
      </x:c>
      <x:c r="I22" s="142" t="n">
        <x:f>ROUND(100*(Metodologia!$B$17*(Q22/Metodologia!$B$22)+Metodologia!$B$18*(R22/Metodologia!$B$23)+Metodologia!$B$19*(S22/Metodologia!$B$24)+Metodologia!$B$20*(P22/Metodologia!$B$25)+Metodologia!$B$21*(J22/Metodologia!$B$26)),2)</x:f>
        <x:v>47.1</x:v>
      </x:c>
      <x:c r="J22" s="82" t="n">
        <x:f>SUM(K22:P22)</x:f>
        <x:v>305</x:v>
      </x:c>
      <x:c r="K22" s="82" t="n">
        <x:v>45</x:v>
      </x:c>
      <x:c r="L22" s="82" t="n">
        <x:v>30</x:v>
      </x:c>
      <x:c r="M22" s="82" t="n">
        <x:v>15</x:v>
      </x:c>
      <x:c r="N22" s="82" t="n">
        <x:v>85</x:v>
      </x:c>
      <x:c r="O22" s="82" t="n">
        <x:v>65</x:v>
      </x:c>
      <x:c r="P22" s="82" t="n">
        <x:v>65</x:v>
      </x:c>
      <x:c r="Q22" s="143" t="n">
        <x:f>MAX(L22,N22)*Metodologia!$B$16</x:f>
        <x:v>110.5</x:v>
      </x:c>
      <x:c r="R22" s="143" t="n">
        <x:f>MIN(L22,N22)*Metodologia!$B$16</x:f>
        <x:v>39</x:v>
      </x:c>
      <x:c r="S22" s="143" t="n">
        <x:f>SQRT(K22*AVERAGE(M22,O22)*Metodologia!$B$16)</x:f>
        <x:v>48.373546489791295</x:v>
      </x:c>
      <x:c r="T22" s="82" t="str">
        <x:v>Sim</x:v>
      </x:c>
      <x:c r="U22" s="82" t="str">
        <x:v>Rankeado</x:v>
      </x:c>
      <x:c r="V22" s="82" t="str">
        <x:v>Perfil especial; melhor atributo ofensivo 85, ofensiva secundária 30, robustez relativa 31% e Speed 65. O índice privilegia dano de hunt, sem ignorar sobrevivência.</x:v>
      </x:c>
      <x:c r="W22" s="82" t="str">
        <x:v>Fica atrás de Togetic principalmente por robustez sustentada 41.3% menor e ofensiva secundária 25.0% menor.</x:v>
      </x:c>
      <x:c r="X22" s="82" t="str">
        <x:v>Fica à frente de Unown porque possui teto ofensivo 18.1% maior e velocidade 35.4% maior.</x:v>
      </x:c>
      <x:c r="Y22" s="154" t="str">
        <x:v>https://poke.idleworld.online/pokepedia/pokemon/smoochum</x:v>
      </x:c>
    </x:row>
    <x:row r="23" ht="48" customHeight="1">
      <x:c r="A23" s="82" t="n">
        <x:f>IF(U23&lt;&gt;"Rankeado","",COUNTIFS($U$5:$U$40,"Rankeado",$I$5:$I$40,"&gt;"&amp;I23)+COUNTIFS($U$5:U23,"Rankeado",$I$5:I23,I23))</x:f>
        <x:v>19</x:v>
      </x:c>
      <x:c r="B23" s="82" t="n">
        <x:f>COUNTIF($I$5:$I$40,"&gt;"&amp;I23)+COUNTIF($I$5:I23,I23)</x:f>
        <x:v>23</x:v>
      </x:c>
      <x:c r="C23" s="82" t="str">
        <x:f>IF(I23&gt;=80,"S+",IF(I23&gt;=72,"S",IF(I23&gt;=65,"A",IF(I23&gt;=58,"B",IF(I23&gt;=50,"C",IF(I23&gt;=42,"D","E"))))))</x:f>
        <x:v>D</x:v>
      </x:c>
      <x:c r="D23" s="82" t="str">
        <x:f>IF(AND(U23="Rankeado",A23&lt;=6),"Sim","Não")</x:f>
        <x:v>Não</x:v>
      </x:c>
      <x:c r="E23" s="82" t="n">
        <x:v>201</x:v>
      </x:c>
      <x:c r="F23" s="80" t="str">
        <x:v>Unown</x:v>
      </x:c>
      <x:c r="G23" s="82" t="str">
        <x:v>Psíquico</x:v>
      </x:c>
      <x:c r="H23" s="82" t="str">
        <x:v>Misto</x:v>
      </x:c>
      <x:c r="I23" s="142" t="n">
        <x:f>ROUND(100*(Metodologia!$B$17*(Q23/Metodologia!$B$22)+Metodologia!$B$18*(R23/Metodologia!$B$23)+Metodologia!$B$19*(S23/Metodologia!$B$24)+Metodologia!$B$20*(P23/Metodologia!$B$25)+Metodologia!$B$21*(J23/Metodologia!$B$26)),2)</x:f>
        <x:v>45.56</x:v>
      </x:c>
      <x:c r="J23" s="82" t="n">
        <x:f>SUM(K23:P23)</x:f>
        <x:v>336</x:v>
      </x:c>
      <x:c r="K23" s="82" t="n">
        <x:v>48</x:v>
      </x:c>
      <x:c r="L23" s="82" t="n">
        <x:v>72</x:v>
      </x:c>
      <x:c r="M23" s="82" t="n">
        <x:v>48</x:v>
      </x:c>
      <x:c r="N23" s="82" t="n">
        <x:v>72</x:v>
      </x:c>
      <x:c r="O23" s="82" t="n">
        <x:v>48</x:v>
      </x:c>
      <x:c r="P23" s="82" t="n">
        <x:v>48</x:v>
      </x:c>
      <x:c r="Q23" s="143" t="n">
        <x:f>MAX(L23,N23)*Metodologia!$B$16</x:f>
        <x:v>93.60000000000001</x:v>
      </x:c>
      <x:c r="R23" s="143" t="n">
        <x:f>MIN(L23,N23)*Metodologia!$B$16</x:f>
        <x:v>93.60000000000001</x:v>
      </x:c>
      <x:c r="S23" s="143" t="n">
        <x:f>SQRT(K23*AVERAGE(M23,O23)*Metodologia!$B$16)</x:f>
        <x:v>54.72842040475862</x:v>
      </x:c>
      <x:c r="T23" s="82" t="str">
        <x:v>Não</x:v>
      </x:c>
      <x:c r="U23" s="82" t="str">
        <x:v>Rankeado</x:v>
      </x:c>
      <x:c r="V23" s="82" t="str">
        <x:v>Perfil misto; melhor atributo ofensivo 72, ofensiva secundária 72, robustez relativa 35% e Speed 48. O índice privilegia dano de hunt, sem ignorar sobrevivência.</x:v>
      </x:c>
      <x:c r="W23" s="82" t="str">
        <x:v>Fica atrás de Smoochum principalmente por teto ofensivo 15.3% menor e velocidade 26.2% menor.</x:v>
      </x:c>
      <x:c r="X23" s="82" t="str">
        <x:v>Fica à frente de Snubbull porque possui ofensiva secundária 80.0% maior e velocidade 60.0% maior.</x:v>
      </x:c>
      <x:c r="Y23" s="154" t="str">
        <x:v>https://poke.idleworld.online/pokepedia/pokemon/unown</x:v>
      </x:c>
    </x:row>
    <x:row r="24" ht="48" customHeight="1">
      <x:c r="A24" s="82" t="n">
        <x:f>IF(U24&lt;&gt;"Rankeado","",COUNTIFS($U$5:$U$40,"Rankeado",$I$5:$I$40,"&gt;"&amp;I24)+COUNTIFS($U$5:U24,"Rankeado",$I$5:I24,I24))</x:f>
        <x:v>20</x:v>
      </x:c>
      <x:c r="B24" s="82" t="n">
        <x:f>COUNTIF($I$5:$I$40,"&gt;"&amp;I24)+COUNTIF($I$5:I24,I24)</x:f>
        <x:v>24</x:v>
      </x:c>
      <x:c r="C24" s="82" t="str">
        <x:f>IF(I24&gt;=80,"S+",IF(I24&gt;=72,"S",IF(I24&gt;=65,"A",IF(I24&gt;=58,"B",IF(I24&gt;=50,"C",IF(I24&gt;=42,"D","E"))))))</x:f>
        <x:v>D</x:v>
      </x:c>
      <x:c r="D24" s="82" t="str">
        <x:f>IF(AND(U24="Rankeado",A24&lt;=6),"Sim","Não")</x:f>
        <x:v>Não</x:v>
      </x:c>
      <x:c r="E24" s="82" t="n">
        <x:v>209</x:v>
      </x:c>
      <x:c r="F24" s="80" t="str">
        <x:v>Snubbull</x:v>
      </x:c>
      <x:c r="G24" s="82" t="str">
        <x:v>Fada</x:v>
      </x:c>
      <x:c r="H24" s="82" t="str">
        <x:v>Físico</x:v>
      </x:c>
      <x:c r="I24" s="142" t="n">
        <x:f>ROUND(100*(Metodologia!$B$17*(Q24/Metodologia!$B$22)+Metodologia!$B$18*(R24/Metodologia!$B$23)+Metodologia!$B$19*(S24/Metodologia!$B$24)+Metodologia!$B$20*(P24/Metodologia!$B$25)+Metodologia!$B$21*(J24/Metodologia!$B$26)),2)</x:f>
        <x:v>44.74</x:v>
      </x:c>
      <x:c r="J24" s="82" t="n">
        <x:f>SUM(K24:P24)</x:f>
        <x:v>300</x:v>
      </x:c>
      <x:c r="K24" s="82" t="n">
        <x:v>60</x:v>
      </x:c>
      <x:c r="L24" s="82" t="n">
        <x:v>80</x:v>
      </x:c>
      <x:c r="M24" s="82" t="n">
        <x:v>50</x:v>
      </x:c>
      <x:c r="N24" s="82" t="n">
        <x:v>40</x:v>
      </x:c>
      <x:c r="O24" s="82" t="n">
        <x:v>40</x:v>
      </x:c>
      <x:c r="P24" s="82" t="n">
        <x:v>30</x:v>
      </x:c>
      <x:c r="Q24" s="143" t="n">
        <x:f>MAX(L24,N24)*Metodologia!$B$16</x:f>
        <x:v>104</x:v>
      </x:c>
      <x:c r="R24" s="143" t="n">
        <x:f>MIN(L24,N24)*Metodologia!$B$16</x:f>
        <x:v>52</x:v>
      </x:c>
      <x:c r="S24" s="143" t="n">
        <x:f>SQRT(K24*AVERAGE(M24,O24)*Metodologia!$B$16)</x:f>
        <x:v>59.2452529743945</x:v>
      </x:c>
      <x:c r="T24" s="82" t="str">
        <x:v>Sim</x:v>
      </x:c>
      <x:c r="U24" s="82" t="str">
        <x:v>Rankeado</x:v>
      </x:c>
      <x:c r="V24" s="82" t="str">
        <x:v>Perfil físico; melhor atributo ofensivo 80, ofensiva secundária 40, robustez relativa 38% e Speed 30. O índice privilegia dano de hunt, sem ignorar sobrevivência.</x:v>
      </x:c>
      <x:c r="W24" s="82" t="str">
        <x:v>Fica atrás de Unown principalmente por ofensiva secundária 44.4% menor e velocidade 37.5% menor.</x:v>
      </x:c>
      <x:c r="X24" s="82" t="str">
        <x:v>Fica à frente de Azumarill porque possui teto ofensivo 33.3% maior.</x:v>
      </x:c>
      <x:c r="Y24" s="154" t="str">
        <x:v>https://poke.idleworld.online/pokepedia/pokemon/snubbull</x:v>
      </x:c>
    </x:row>
    <x:row r="25" ht="48" customHeight="1">
      <x:c r="A25" s="82" t="n">
        <x:f>IF(U25&lt;&gt;"Rankeado","",COUNTIFS($U$5:$U$40,"Rankeado",$I$5:$I$40,"&gt;"&amp;I25)+COUNTIFS($U$5:U25,"Rankeado",$I$5:I25,I25))</x:f>
        <x:v>21</x:v>
      </x:c>
      <x:c r="B25" s="82" t="n">
        <x:f>COUNTIF($I$5:$I$40,"&gt;"&amp;I25)+COUNTIF($I$5:I25,I25)</x:f>
        <x:v>25</x:v>
      </x:c>
      <x:c r="C25" s="82" t="str">
        <x:f>IF(I25&gt;=80,"S+",IF(I25&gt;=72,"S",IF(I25&gt;=65,"A",IF(I25&gt;=58,"B",IF(I25&gt;=50,"C",IF(I25&gt;=42,"D","E"))))))</x:f>
        <x:v>D</x:v>
      </x:c>
      <x:c r="D25" s="82" t="str">
        <x:f>IF(AND(U25="Rankeado",A25&lt;=6),"Sim","Não")</x:f>
        <x:v>Não</x:v>
      </x:c>
      <x:c r="E25" s="82" t="n">
        <x:v>184</x:v>
      </x:c>
      <x:c r="F25" s="80" t="str">
        <x:v>Azumarill</x:v>
      </x:c>
      <x:c r="G25" s="82" t="str">
        <x:v>Água / Fada</x:v>
      </x:c>
      <x:c r="H25" s="82" t="str">
        <x:v>Misto</x:v>
      </x:c>
      <x:c r="I25" s="142" t="n">
        <x:f>ROUND(100*(Metodologia!$B$17*(Q25/Metodologia!$B$22)+Metodologia!$B$18*(R25/Metodologia!$B$23)+Metodologia!$B$19*(S25/Metodologia!$B$24)+Metodologia!$B$20*(P25/Metodologia!$B$25)+Metodologia!$B$21*(J25/Metodologia!$B$26)),2)</x:f>
        <x:v>44.21</x:v>
      </x:c>
      <x:c r="J25" s="82" t="n">
        <x:f>SUM(K25:P25)</x:f>
        <x:v>420</x:v>
      </x:c>
      <x:c r="K25" s="82" t="n">
        <x:v>100</x:v>
      </x:c>
      <x:c r="L25" s="82" t="n">
        <x:v>50</x:v>
      </x:c>
      <x:c r="M25" s="82" t="n">
        <x:v>80</x:v>
      </x:c>
      <x:c r="N25" s="82" t="n">
        <x:v>60</x:v>
      </x:c>
      <x:c r="O25" s="82" t="n">
        <x:v>80</x:v>
      </x:c>
      <x:c r="P25" s="82" t="n">
        <x:v>50</x:v>
      </x:c>
      <x:c r="Q25" s="143" t="n">
        <x:f>MAX(L25,N25)*Metodologia!$B$16</x:f>
        <x:v>78</x:v>
      </x:c>
      <x:c r="R25" s="143" t="n">
        <x:f>MIN(L25,N25)*Metodologia!$B$16</x:f>
        <x:v>65</x:v>
      </x:c>
      <x:c r="S25" s="143" t="n">
        <x:f>SQRT(K25*AVERAGE(M25,O25)*Metodologia!$B$16)</x:f>
        <x:v>101.9803902718557</x:v>
      </x:c>
      <x:c r="T25" s="82" t="str">
        <x:v>Sim</x:v>
      </x:c>
      <x:c r="U25" s="82" t="str">
        <x:v>Rankeado</x:v>
      </x:c>
      <x:c r="V25" s="82" t="str">
        <x:v>Perfil misto; melhor atributo ofensivo 60, ofensiva secundária 50, robustez relativa 66% e Speed 50. O índice privilegia dano de hunt, sem ignorar sobrevivência.</x:v>
      </x:c>
      <x:c r="W25" s="82" t="str">
        <x:v>Fica atrás de Snubbull principalmente por teto ofensivo 25.0% menor.</x:v>
      </x:c>
      <x:c r="X25" s="82" t="str">
        <x:v>Fica à frente de Natu porque possui robustez sustentada 110.8% maior e total de stats 31.2% maior.</x:v>
      </x:c>
      <x:c r="Y25" s="154" t="str">
        <x:v>https://poke.idleworld.online/pokepedia/pokemon/azumarill</x:v>
      </x:c>
    </x:row>
    <x:row r="26" ht="48" customHeight="1">
      <x:c r="A26" s="82" t="n">
        <x:f>IF(U26&lt;&gt;"Rankeado","",COUNTIFS($U$5:$U$40,"Rankeado",$I$5:$I$40,"&gt;"&amp;I26)+COUNTIFS($U$5:U26,"Rankeado",$I$5:I26,I26))</x:f>
        <x:v>22</x:v>
      </x:c>
      <x:c r="B26" s="82" t="n">
        <x:f>COUNTIF($I$5:$I$40,"&gt;"&amp;I26)+COUNTIF($I$5:I26,I26)</x:f>
        <x:v>26</x:v>
      </x:c>
      <x:c r="C26" s="82" t="str">
        <x:f>IF(I26&gt;=80,"S+",IF(I26&gt;=72,"S",IF(I26&gt;=65,"A",IF(I26&gt;=58,"B",IF(I26&gt;=50,"C",IF(I26&gt;=42,"D","E"))))))</x:f>
        <x:v>D</x:v>
      </x:c>
      <x:c r="D26" s="82" t="str">
        <x:f>IF(AND(U26="Rankeado",A26&lt;=6),"Sim","Não")</x:f>
        <x:v>Não</x:v>
      </x:c>
      <x:c r="E26" s="82" t="n">
        <x:v>177</x:v>
      </x:c>
      <x:c r="F26" s="80" t="str">
        <x:v>Natu</x:v>
      </x:c>
      <x:c r="G26" s="82" t="str">
        <x:v>Psíquico / Voador</x:v>
      </x:c>
      <x:c r="H26" s="82" t="str">
        <x:v>Especial</x:v>
      </x:c>
      <x:c r="I26" s="142" t="n">
        <x:f>ROUND(100*(Metodologia!$B$17*(Q26/Metodologia!$B$22)+Metodologia!$B$18*(R26/Metodologia!$B$23)+Metodologia!$B$19*(S26/Metodologia!$B$24)+Metodologia!$B$20*(P26/Metodologia!$B$25)+Metodologia!$B$21*(J26/Metodologia!$B$26)),2)</x:f>
        <x:v>43.52</x:v>
      </x:c>
      <x:c r="J26" s="82" t="n">
        <x:f>SUM(K26:P26)</x:f>
        <x:v>320</x:v>
      </x:c>
      <x:c r="K26" s="82" t="n">
        <x:v>40</x:v>
      </x:c>
      <x:c r="L26" s="82" t="n">
        <x:v>50</x:v>
      </x:c>
      <x:c r="M26" s="82" t="n">
        <x:v>45</x:v>
      </x:c>
      <x:c r="N26" s="82" t="n">
        <x:v>70</x:v>
      </x:c>
      <x:c r="O26" s="82" t="n">
        <x:v>45</x:v>
      </x:c>
      <x:c r="P26" s="82" t="n">
        <x:v>70</x:v>
      </x:c>
      <x:c r="Q26" s="143" t="n">
        <x:f>MAX(L26,N26)*Metodologia!$B$16</x:f>
        <x:v>91</x:v>
      </x:c>
      <x:c r="R26" s="143" t="n">
        <x:f>MIN(L26,N26)*Metodologia!$B$16</x:f>
        <x:v>65</x:v>
      </x:c>
      <x:c r="S26" s="143" t="n">
        <x:f>SQRT(K26*AVERAGE(M26,O26)*Metodologia!$B$16)</x:f>
        <x:v>48.373546489791295</x:v>
      </x:c>
      <x:c r="T26" s="82" t="str">
        <x:v>Sim</x:v>
      </x:c>
      <x:c r="U26" s="82" t="str">
        <x:v>Rankeado</x:v>
      </x:c>
      <x:c r="V26" s="82" t="str">
        <x:v>Perfil especial; melhor atributo ofensivo 70, ofensiva secundária 50, robustez relativa 31% e Speed 70. O índice privilegia dano de hunt, sem ignorar sobrevivência.</x:v>
      </x:c>
      <x:c r="W26" s="82" t="str">
        <x:v>Fica atrás de Azumarill principalmente por robustez sustentada 52.6% menor e total de stats 23.8% menor.</x:v>
      </x:c>
      <x:c r="X26" s="82" t="str">
        <x:v>Fica à frente de Slowpoke porque possui velocidade 366.7% maior e teto ofensivo 7.7% maior.</x:v>
      </x:c>
      <x:c r="Y26" s="154" t="str">
        <x:v>https://poke.idleworld.online/pokepedia/pokemon/natu</x:v>
      </x:c>
    </x:row>
    <x:row r="27" ht="48" customHeight="1">
      <x:c r="A27" s="82" t="n">
        <x:f>IF(U27&lt;&gt;"Rankeado","",COUNTIFS($U$5:$U$40,"Rankeado",$I$5:$I$40,"&gt;"&amp;I27)+COUNTIFS($U$5:U27,"Rankeado",$I$5:I27,I27))</x:f>
        <x:v>23</x:v>
      </x:c>
      <x:c r="B27" s="82" t="n">
        <x:f>COUNTIF($I$5:$I$40,"&gt;"&amp;I27)+COUNTIF($I$5:I27,I27)</x:f>
        <x:v>27</x:v>
      </x:c>
      <x:c r="C27" s="82" t="str">
        <x:f>IF(I27&gt;=80,"S+",IF(I27&gt;=72,"S",IF(I27&gt;=65,"A",IF(I27&gt;=58,"B",IF(I27&gt;=50,"C",IF(I27&gt;=42,"D","E"))))))</x:f>
        <x:v>E</x:v>
      </x:c>
      <x:c r="D27" s="82" t="str">
        <x:f>IF(AND(U27="Rankeado",A27&lt;=6),"Sim","Não")</x:f>
        <x:v>Não</x:v>
      </x:c>
      <x:c r="E27" s="82" t="n">
        <x:v>79</x:v>
      </x:c>
      <x:c r="F27" s="80" t="str">
        <x:v>Slowpoke</x:v>
      </x:c>
      <x:c r="G27" s="82" t="str">
        <x:v>Água / Psíquico</x:v>
      </x:c>
      <x:c r="H27" s="82" t="str">
        <x:v>Físico</x:v>
      </x:c>
      <x:c r="I27" s="142" t="n">
        <x:f>ROUND(100*(Metodologia!$B$17*(Q27/Metodologia!$B$22)+Metodologia!$B$18*(R27/Metodologia!$B$23)+Metodologia!$B$19*(S27/Metodologia!$B$24)+Metodologia!$B$20*(P27/Metodologia!$B$25)+Metodologia!$B$21*(J27/Metodologia!$B$26)),2)</x:f>
        <x:v>39.86</x:v>
      </x:c>
      <x:c r="J27" s="82" t="n">
        <x:f>SUM(K27:P27)</x:f>
        <x:v>315</x:v>
      </x:c>
      <x:c r="K27" s="82" t="n">
        <x:v>90</x:v>
      </x:c>
      <x:c r="L27" s="82" t="n">
        <x:v>65</x:v>
      </x:c>
      <x:c r="M27" s="82" t="n">
        <x:v>65</x:v>
      </x:c>
      <x:c r="N27" s="82" t="n">
        <x:v>40</x:v>
      </x:c>
      <x:c r="O27" s="82" t="n">
        <x:v>40</x:v>
      </x:c>
      <x:c r="P27" s="82" t="n">
        <x:v>15</x:v>
      </x:c>
      <x:c r="Q27" s="143" t="n">
        <x:f>MAX(L27,N27)*Metodologia!$B$16</x:f>
        <x:v>84.5</x:v>
      </x:c>
      <x:c r="R27" s="143" t="n">
        <x:f>MIN(L27,N27)*Metodologia!$B$16</x:f>
        <x:v>52</x:v>
      </x:c>
      <x:c r="S27" s="143" t="n">
        <x:f>SQRT(K27*AVERAGE(M27,O27)*Metodologia!$B$16)</x:f>
        <x:v>78.3741028656788</x:v>
      </x:c>
      <x:c r="T27" s="82" t="str">
        <x:v>Sim</x:v>
      </x:c>
      <x:c r="U27" s="82" t="str">
        <x:v>Rankeado</x:v>
      </x:c>
      <x:c r="V27" s="82" t="str">
        <x:v>Perfil físico; melhor atributo ofensivo 65, ofensiva secundária 40, robustez relativa 51% e Speed 15. O índice privilegia dano de hunt, sem ignorar sobrevivência.</x:v>
      </x:c>
      <x:c r="W27" s="82" t="str">
        <x:v>Fica atrás de Natu principalmente por velocidade 78.6% menor e teto ofensivo 7.1% menor.</x:v>
      </x:c>
      <x:c r="X27" s="82" t="str">
        <x:v>Fica à frente de Clefairy porque possui teto ofensivo 8.3% maior e robustez sustentada 9.3% maior.</x:v>
      </x:c>
      <x:c r="Y27" s="154" t="str">
        <x:v>https://poke.idleworld.online/pokepedia/pokemon/slowpoke</x:v>
      </x:c>
    </x:row>
    <x:row r="28" ht="48" customHeight="1">
      <x:c r="A28" s="82" t="n">
        <x:f>IF(U28&lt;&gt;"Rankeado","",COUNTIFS($U$5:$U$40,"Rankeado",$I$5:$I$40,"&gt;"&amp;I28)+COUNTIFS($U$5:U28,"Rankeado",$I$5:I28,I28))</x:f>
        <x:v>24</x:v>
      </x:c>
      <x:c r="B28" s="82" t="n">
        <x:f>COUNTIF($I$5:$I$40,"&gt;"&amp;I28)+COUNTIF($I$5:I28,I28)</x:f>
        <x:v>28</x:v>
      </x:c>
      <x:c r="C28" s="82" t="str">
        <x:f>IF(I28&gt;=80,"S+",IF(I28&gt;=72,"S",IF(I28&gt;=65,"A",IF(I28&gt;=58,"B",IF(I28&gt;=50,"C",IF(I28&gt;=42,"D","E"))))))</x:f>
        <x:v>E</x:v>
      </x:c>
      <x:c r="D28" s="82" t="str">
        <x:f>IF(AND(U28="Rankeado",A28&lt;=6),"Sim","Não")</x:f>
        <x:v>Não</x:v>
      </x:c>
      <x:c r="E28" s="82" t="n">
        <x:v>35</x:v>
      </x:c>
      <x:c r="F28" s="80" t="str">
        <x:v>Clefairy</x:v>
      </x:c>
      <x:c r="G28" s="82" t="str">
        <x:v>Fada</x:v>
      </x:c>
      <x:c r="H28" s="82" t="str">
        <x:v>Especial</x:v>
      </x:c>
      <x:c r="I28" s="142" t="n">
        <x:f>ROUND(100*(Metodologia!$B$17*(Q28/Metodologia!$B$22)+Metodologia!$B$18*(R28/Metodologia!$B$23)+Metodologia!$B$19*(S28/Metodologia!$B$24)+Metodologia!$B$20*(P28/Metodologia!$B$25)+Metodologia!$B$21*(J28/Metodologia!$B$26)),2)</x:f>
        <x:v>39.11</x:v>
      </x:c>
      <x:c r="J28" s="82" t="n">
        <x:f>SUM(K28:P28)</x:f>
        <x:v>323</x:v>
      </x:c>
      <x:c r="K28" s="82" t="n">
        <x:v>70</x:v>
      </x:c>
      <x:c r="L28" s="82" t="n">
        <x:v>45</x:v>
      </x:c>
      <x:c r="M28" s="82" t="n">
        <x:v>48</x:v>
      </x:c>
      <x:c r="N28" s="82" t="n">
        <x:v>60</x:v>
      </x:c>
      <x:c r="O28" s="82" t="n">
        <x:v>65</x:v>
      </x:c>
      <x:c r="P28" s="82" t="n">
        <x:v>35</x:v>
      </x:c>
      <x:c r="Q28" s="143" t="n">
        <x:f>MAX(L28,N28)*Metodologia!$B$16</x:f>
        <x:v>78</x:v>
      </x:c>
      <x:c r="R28" s="143" t="n">
        <x:f>MIN(L28,N28)*Metodologia!$B$16</x:f>
        <x:v>58.5</x:v>
      </x:c>
      <x:c r="S28" s="143" t="n">
        <x:f>SQRT(K28*AVERAGE(M28,O28)*Metodologia!$B$16)</x:f>
        <x:v>71.70425370924657</x:v>
      </x:c>
      <x:c r="T28" s="82" t="str">
        <x:v>Sim</x:v>
      </x:c>
      <x:c r="U28" s="82" t="str">
        <x:v>Rankeado</x:v>
      </x:c>
      <x:c r="V28" s="82" t="str">
        <x:v>Perfil especial; melhor atributo ofensivo 60, ofensiva secundária 45, robustez relativa 46% e Speed 35. O índice privilegia dano de hunt, sem ignorar sobrevivência.</x:v>
      </x:c>
      <x:c r="W28" s="82" t="str">
        <x:v>Fica atrás de Slowpoke principalmente por teto ofensivo 7.7% menor e robustez sustentada 8.5% menor.</x:v>
      </x:c>
      <x:c r="X28" s="82" t="str">
        <x:v>Fica à frente de Exeggcute porque possui ofensiva secundária 12.5% maior e robustez sustentada 2.7% maior.</x:v>
      </x:c>
      <x:c r="Y28" s="154" t="str">
        <x:v>https://poke.idleworld.online/pokepedia/pokemon/clefairy</x:v>
      </x:c>
    </x:row>
    <x:row r="29" ht="48" customHeight="1">
      <x:c r="A29" s="82" t="n">
        <x:f>IF(U29&lt;&gt;"Rankeado","",COUNTIFS($U$5:$U$40,"Rankeado",$I$5:$I$40,"&gt;"&amp;I29)+COUNTIFS($U$5:U29,"Rankeado",$I$5:I29,I29))</x:f>
        <x:v>25</x:v>
      </x:c>
      <x:c r="B29" s="82" t="n">
        <x:f>COUNTIF($I$5:$I$40,"&gt;"&amp;I29)+COUNTIF($I$5:I29,I29)</x:f>
        <x:v>29</x:v>
      </x:c>
      <x:c r="C29" s="82" t="str">
        <x:f>IF(I29&gt;=80,"S+",IF(I29&gt;=72,"S",IF(I29&gt;=65,"A",IF(I29&gt;=58,"B",IF(I29&gt;=50,"C",IF(I29&gt;=42,"D","E"))))))</x:f>
        <x:v>E</x:v>
      </x:c>
      <x:c r="D29" s="82" t="str">
        <x:f>IF(AND(U29="Rankeado",A29&lt;=6),"Sim","Não")</x:f>
        <x:v>Não</x:v>
      </x:c>
      <x:c r="E29" s="82" t="n">
        <x:v>102</x:v>
      </x:c>
      <x:c r="F29" s="80" t="str">
        <x:v>Exeggcute</x:v>
      </x:c>
      <x:c r="G29" s="82" t="str">
        <x:v>Planta / Psíquico</x:v>
      </x:c>
      <x:c r="H29" s="82" t="str">
        <x:v>Especial</x:v>
      </x:c>
      <x:c r="I29" s="142" t="n">
        <x:f>ROUND(100*(Metodologia!$B$17*(Q29/Metodologia!$B$22)+Metodologia!$B$18*(R29/Metodologia!$B$23)+Metodologia!$B$19*(S29/Metodologia!$B$24)+Metodologia!$B$20*(P29/Metodologia!$B$25)+Metodologia!$B$21*(J29/Metodologia!$B$26)),2)</x:f>
        <x:v>38.83</x:v>
      </x:c>
      <x:c r="J29" s="82" t="n">
        <x:f>SUM(K29:P29)</x:f>
        <x:v>325</x:v>
      </x:c>
      <x:c r="K29" s="82" t="n">
        <x:v>60</x:v>
      </x:c>
      <x:c r="L29" s="82" t="n">
        <x:v>40</x:v>
      </x:c>
      <x:c r="M29" s="82" t="n">
        <x:v>80</x:v>
      </x:c>
      <x:c r="N29" s="82" t="n">
        <x:v>60</x:v>
      </x:c>
      <x:c r="O29" s="82" t="n">
        <x:v>45</x:v>
      </x:c>
      <x:c r="P29" s="82" t="n">
        <x:v>40</x:v>
      </x:c>
      <x:c r="Q29" s="143" t="n">
        <x:f>MAX(L29,N29)*Metodologia!$B$16</x:f>
        <x:v>78</x:v>
      </x:c>
      <x:c r="R29" s="143" t="n">
        <x:f>MIN(L29,N29)*Metodologia!$B$16</x:f>
        <x:v>52</x:v>
      </x:c>
      <x:c r="S29" s="143" t="n">
        <x:f>SQRT(K29*AVERAGE(M29,O29)*Metodologia!$B$16)</x:f>
        <x:v>69.82120021884471</x:v>
      </x:c>
      <x:c r="T29" s="82" t="str">
        <x:v>Sim</x:v>
      </x:c>
      <x:c r="U29" s="82" t="str">
        <x:v>Rankeado</x:v>
      </x:c>
      <x:c r="V29" s="82" t="str">
        <x:v>Perfil especial; melhor atributo ofensivo 60, ofensiva secundária 40, robustez relativa 45% e Speed 40. O índice privilegia dano de hunt, sem ignorar sobrevivência.</x:v>
      </x:c>
      <x:c r="W29" s="82" t="str">
        <x:v>Fica atrás de Clefairy principalmente por ofensiva secundária 11.1% menor e robustez sustentada 2.6% menor.</x:v>
      </x:c>
      <x:c r="X29" s="82" t="str">
        <x:v>Fica à frente de Drowzee porque possui teto ofensivo 25.0% maior.</x:v>
      </x:c>
      <x:c r="Y29" s="154" t="str">
        <x:v>https://poke.idleworld.online/pokepedia/pokemon/exeggcute</x:v>
      </x:c>
    </x:row>
    <x:row r="30" ht="48" customHeight="1">
      <x:c r="A30" s="82" t="n">
        <x:f>IF(U30&lt;&gt;"Rankeado","",COUNTIFS($U$5:$U$40,"Rankeado",$I$5:$I$40,"&gt;"&amp;I30)+COUNTIFS($U$5:U30,"Rankeado",$I$5:I30,I30))</x:f>
        <x:v>26</x:v>
      </x:c>
      <x:c r="B30" s="82" t="n">
        <x:f>COUNTIF($I$5:$I$40,"&gt;"&amp;I30)+COUNTIF($I$5:I30,I30)</x:f>
        <x:v>30</x:v>
      </x:c>
      <x:c r="C30" s="82" t="str">
        <x:f>IF(I30&gt;=80,"S+",IF(I30&gt;=72,"S",IF(I30&gt;=65,"A",IF(I30&gt;=58,"B",IF(I30&gt;=50,"C",IF(I30&gt;=42,"D","E"))))))</x:f>
        <x:v>E</x:v>
      </x:c>
      <x:c r="D30" s="82" t="str">
        <x:f>IF(AND(U30="Rankeado",A30&lt;=6),"Sim","Não")</x:f>
        <x:v>Não</x:v>
      </x:c>
      <x:c r="E30" s="82" t="n">
        <x:v>96</x:v>
      </x:c>
      <x:c r="F30" s="80" t="str">
        <x:v>Drowzee</x:v>
      </x:c>
      <x:c r="G30" s="82" t="str">
        <x:v>Psíquico</x:v>
      </x:c>
      <x:c r="H30" s="82" t="str">
        <x:v>Misto</x:v>
      </x:c>
      <x:c r="I30" s="142" t="n">
        <x:f>ROUND(100*(Metodologia!$B$17*(Q30/Metodologia!$B$22)+Metodologia!$B$18*(R30/Metodologia!$B$23)+Metodologia!$B$19*(S30/Metodologia!$B$24)+Metodologia!$B$20*(P30/Metodologia!$B$25)+Metodologia!$B$21*(J30/Metodologia!$B$26)),2)</x:f>
        <x:v>34.84</x:v>
      </x:c>
      <x:c r="J30" s="82" t="n">
        <x:f>SUM(K30:P30)</x:f>
        <x:v>328</x:v>
      </x:c>
      <x:c r="K30" s="82" t="n">
        <x:v>60</x:v>
      </x:c>
      <x:c r="L30" s="82" t="n">
        <x:v>48</x:v>
      </x:c>
      <x:c r="M30" s="82" t="n">
        <x:v>45</x:v>
      </x:c>
      <x:c r="N30" s="82" t="n">
        <x:v>43</x:v>
      </x:c>
      <x:c r="O30" s="82" t="n">
        <x:v>90</x:v>
      </x:c>
      <x:c r="P30" s="82" t="n">
        <x:v>42</x:v>
      </x:c>
      <x:c r="Q30" s="143" t="n">
        <x:f>MAX(L30,N30)*Metodologia!$B$16</x:f>
        <x:v>62.400000000000006</x:v>
      </x:c>
      <x:c r="R30" s="143" t="n">
        <x:f>MIN(L30,N30)*Metodologia!$B$16</x:f>
        <x:v>55.9</x:v>
      </x:c>
      <x:c r="S30" s="143" t="n">
        <x:f>SQRT(K30*AVERAGE(M30,O30)*Metodologia!$B$16)</x:f>
        <x:v>72.56031973468694</x:v>
      </x:c>
      <x:c r="T30" s="82" t="str">
        <x:v>Sim</x:v>
      </x:c>
      <x:c r="U30" s="82" t="str">
        <x:v>Rankeado</x:v>
      </x:c>
      <x:c r="V30" s="82" t="str">
        <x:v>Perfil misto; melhor atributo ofensivo 48, ofensiva secundária 43, robustez relativa 47% e Speed 42. O índice privilegia dano de hunt, sem ignorar sobrevivência.</x:v>
      </x:c>
      <x:c r="W30" s="82" t="str">
        <x:v>Fica atrás de Exeggcute principalmente por teto ofensivo 20.0% menor.</x:v>
      </x:c>
      <x:c r="X30" s="82" t="str">
        <x:v>Fica à frente de Wobbuffet porque possui teto ofensivo 45.5% maior e ofensiva secundária 30.3% maior.</x:v>
      </x:c>
      <x:c r="Y30" s="154" t="str">
        <x:v>https://poke.idleworld.online/pokepedia/pokemon/drowzee</x:v>
      </x:c>
    </x:row>
    <x:row r="31" ht="48" customHeight="1">
      <x:c r="A31" s="82" t="n">
        <x:f>IF(U31&lt;&gt;"Rankeado","",COUNTIFS($U$5:$U$40,"Rankeado",$I$5:$I$40,"&gt;"&amp;I31)+COUNTIFS($U$5:U31,"Rankeado",$I$5:I31,I31))</x:f>
        <x:v>27</x:v>
      </x:c>
      <x:c r="B31" s="82" t="n">
        <x:f>COUNTIF($I$5:$I$40,"&gt;"&amp;I31)+COUNTIF($I$5:I31,I31)</x:f>
        <x:v>31</x:v>
      </x:c>
      <x:c r="C31" s="82" t="str">
        <x:f>IF(I31&gt;=80,"S+",IF(I31&gt;=72,"S",IF(I31&gt;=65,"A",IF(I31&gt;=58,"B",IF(I31&gt;=50,"C",IF(I31&gt;=42,"D","E"))))))</x:f>
        <x:v>E</x:v>
      </x:c>
      <x:c r="D31" s="82" t="str">
        <x:f>IF(AND(U31="Rankeado",A31&lt;=6),"Sim","Não")</x:f>
        <x:v>Não</x:v>
      </x:c>
      <x:c r="E31" s="82" t="n">
        <x:v>202</x:v>
      </x:c>
      <x:c r="F31" s="80" t="str">
        <x:v>Wobbuffet</x:v>
      </x:c>
      <x:c r="G31" s="82" t="str">
        <x:v>Psíquico</x:v>
      </x:c>
      <x:c r="H31" s="82" t="str">
        <x:v>Misto</x:v>
      </x:c>
      <x:c r="I31" s="142" t="n">
        <x:f>ROUND(100*(Metodologia!$B$17*(Q31/Metodologia!$B$22)+Metodologia!$B$18*(R31/Metodologia!$B$23)+Metodologia!$B$19*(S31/Metodologia!$B$24)+Metodologia!$B$20*(P31/Metodologia!$B$25)+Metodologia!$B$21*(J31/Metodologia!$B$26)),2)</x:f>
        <x:v>32.62</x:v>
      </x:c>
      <x:c r="J31" s="82" t="n">
        <x:f>SUM(K31:P31)</x:f>
        <x:v>405</x:v>
      </x:c>
      <x:c r="K31" s="82" t="n">
        <x:v>190</x:v>
      </x:c>
      <x:c r="L31" s="82" t="n">
        <x:v>33</x:v>
      </x:c>
      <x:c r="M31" s="82" t="n">
        <x:v>58</x:v>
      </x:c>
      <x:c r="N31" s="82" t="n">
        <x:v>33</x:v>
      </x:c>
      <x:c r="O31" s="82" t="n">
        <x:v>58</x:v>
      </x:c>
      <x:c r="P31" s="82" t="n">
        <x:v>33</x:v>
      </x:c>
      <x:c r="Q31" s="143" t="n">
        <x:f>MAX(L31,N31)*Metodologia!$B$16</x:f>
        <x:v>42.9</x:v>
      </x:c>
      <x:c r="R31" s="143" t="n">
        <x:f>MIN(L31,N31)*Metodologia!$B$16</x:f>
        <x:v>42.9</x:v>
      </x:c>
      <x:c r="S31" s="143" t="n">
        <x:f>SQRT(K31*AVERAGE(M31,O31)*Metodologia!$B$16)</x:f>
        <x:v>119.69126952288542</x:v>
      </x:c>
      <x:c r="T31" s="82" t="str">
        <x:v>Sim</x:v>
      </x:c>
      <x:c r="U31" s="82" t="str">
        <x:v>Rankeado</x:v>
      </x:c>
      <x:c r="V31" s="82" t="str">
        <x:v>Perfil misto; melhor atributo ofensivo 33, ofensiva secundária 33, robustez relativa 77% e Speed 33. O índice privilegia dano de hunt, sem ignorar sobrevivência.</x:v>
      </x:c>
      <x:c r="W31" s="82" t="str">
        <x:v>Fica atrás de Drowzee principalmente por teto ofensivo 31.3% menor e ofensiva secundária 23.3% menor.</x:v>
      </x:c>
      <x:c r="X31" s="82" t="str">
        <x:v>Fica à frente de Jigglypuff porque possui robustez sustentada 106.4% maior e total de stats 50.0% maior.</x:v>
      </x:c>
      <x:c r="Y31" s="154" t="str">
        <x:v>https://poke.idleworld.online/pokepedia/pokemon/wobbuffet</x:v>
      </x:c>
    </x:row>
    <x:row r="32" ht="48" customHeight="1">
      <x:c r="A32" s="82" t="n">
        <x:f>IF(U32&lt;&gt;"Rankeado","",COUNTIFS($U$5:$U$40,"Rankeado",$I$5:$I$40,"&gt;"&amp;I32)+COUNTIFS($U$5:U32,"Rankeado",$I$5:I32,I32))</x:f>
        <x:v>28</x:v>
      </x:c>
      <x:c r="B32" s="82" t="n">
        <x:f>COUNTIF($I$5:$I$40,"&gt;"&amp;I32)+COUNTIF($I$5:I32,I32)</x:f>
        <x:v>32</x:v>
      </x:c>
      <x:c r="C32" s="82" t="str">
        <x:f>IF(I32&gt;=80,"S+",IF(I32&gt;=72,"S",IF(I32&gt;=65,"A",IF(I32&gt;=58,"B",IF(I32&gt;=50,"C",IF(I32&gt;=42,"D","E"))))))</x:f>
        <x:v>E</x:v>
      </x:c>
      <x:c r="D32" s="82" t="str">
        <x:f>IF(AND(U32="Rankeado",A32&lt;=6),"Sim","Não")</x:f>
        <x:v>Não</x:v>
      </x:c>
      <x:c r="E32" s="82" t="n">
        <x:v>39</x:v>
      </x:c>
      <x:c r="F32" s="80" t="str">
        <x:v>Jigglypuff</x:v>
      </x:c>
      <x:c r="G32" s="82" t="str">
        <x:v>Normal / Fada</x:v>
      </x:c>
      <x:c r="H32" s="82" t="str">
        <x:v>Misto</x:v>
      </x:c>
      <x:c r="I32" s="142" t="n">
        <x:f>ROUND(100*(Metodologia!$B$17*(Q32/Metodologia!$B$22)+Metodologia!$B$18*(R32/Metodologia!$B$23)+Metodologia!$B$19*(S32/Metodologia!$B$24)+Metodologia!$B$20*(P32/Metodologia!$B$25)+Metodologia!$B$21*(J32/Metodologia!$B$26)),2)</x:f>
        <x:v>30.55</x:v>
      </x:c>
      <x:c r="J32" s="82" t="n">
        <x:f>SUM(K32:P32)</x:f>
        <x:v>270</x:v>
      </x:c>
      <x:c r="K32" s="82" t="n">
        <x:v>115</x:v>
      </x:c>
      <x:c r="L32" s="82" t="n">
        <x:v>45</x:v>
      </x:c>
      <x:c r="M32" s="82" t="n">
        <x:v>20</x:v>
      </x:c>
      <x:c r="N32" s="82" t="n">
        <x:v>45</x:v>
      </x:c>
      <x:c r="O32" s="82" t="n">
        <x:v>25</x:v>
      </x:c>
      <x:c r="P32" s="82" t="n">
        <x:v>20</x:v>
      </x:c>
      <x:c r="Q32" s="143" t="n">
        <x:f>MAX(L32,N32)*Metodologia!$B$16</x:f>
        <x:v>58.5</x:v>
      </x:c>
      <x:c r="R32" s="143" t="n">
        <x:f>MIN(L32,N32)*Metodologia!$B$16</x:f>
        <x:v>58.5</x:v>
      </x:c>
      <x:c r="S32" s="143" t="n">
        <x:f>SQRT(K32*AVERAGE(M32,O32)*Metodologia!$B$16)</x:f>
        <x:v>57.99784478754361</x:v>
      </x:c>
      <x:c r="T32" s="82" t="str">
        <x:v>Sim</x:v>
      </x:c>
      <x:c r="U32" s="82" t="str">
        <x:v>Rankeado</x:v>
      </x:c>
      <x:c r="V32" s="82" t="str">
        <x:v>Perfil misto; melhor atributo ofensivo 45, ofensiva secundária 45, robustez relativa 37% e Speed 20. O índice privilegia dano de hunt, sem ignorar sobrevivência.</x:v>
      </x:c>
      <x:c r="W32" s="82" t="str">
        <x:v>Fica atrás de Wobbuffet principalmente por robustez sustentada 51.5% menor e total de stats 33.3% menor.</x:v>
      </x:c>
      <x:c r="X32" s="82" t="str">
        <x:v>Fica à frente de Cleffa porque possui ofensiva secundária 80.0% maior e robustez sustentada 11.7% maior.</x:v>
      </x:c>
      <x:c r="Y32" s="154" t="str">
        <x:v>https://poke.idleworld.online/pokepedia/pokemon/jigglypuff</x:v>
      </x:c>
    </x:row>
    <x:row r="33" ht="48" customHeight="1">
      <x:c r="A33" s="82" t="n">
        <x:f>IF(U33&lt;&gt;"Rankeado","",COUNTIFS($U$5:$U$40,"Rankeado",$I$5:$I$40,"&gt;"&amp;I33)+COUNTIFS($U$5:U33,"Rankeado",$I$5:I33,I33))</x:f>
        <x:v>29</x:v>
      </x:c>
      <x:c r="B33" s="82" t="n">
        <x:f>COUNTIF($I$5:$I$40,"&gt;"&amp;I33)+COUNTIF($I$5:I33,I33)</x:f>
        <x:v>33</x:v>
      </x:c>
      <x:c r="C33" s="82" t="str">
        <x:f>IF(I33&gt;=80,"S+",IF(I33&gt;=72,"S",IF(I33&gt;=65,"A",IF(I33&gt;=58,"B",IF(I33&gt;=50,"C",IF(I33&gt;=42,"D","E"))))))</x:f>
        <x:v>E</x:v>
      </x:c>
      <x:c r="D33" s="82" t="str">
        <x:f>IF(AND(U33="Rankeado",A33&lt;=6),"Sim","Não")</x:f>
        <x:v>Não</x:v>
      </x:c>
      <x:c r="E33" s="82" t="n">
        <x:v>173</x:v>
      </x:c>
      <x:c r="F33" s="80" t="str">
        <x:v>Cleffa</x:v>
      </x:c>
      <x:c r="G33" s="82" t="str">
        <x:v>Fada</x:v>
      </x:c>
      <x:c r="H33" s="82" t="str">
        <x:v>Especial</x:v>
      </x:c>
      <x:c r="I33" s="142" t="n">
        <x:f>ROUND(100*(Metodologia!$B$17*(Q33/Metodologia!$B$22)+Metodologia!$B$18*(R33/Metodologia!$B$23)+Metodologia!$B$19*(S33/Metodologia!$B$24)+Metodologia!$B$20*(P33/Metodologia!$B$25)+Metodologia!$B$21*(J33/Metodologia!$B$26)),2)</x:f>
        <x:v>27.43</x:v>
      </x:c>
      <x:c r="J33" s="82" t="n">
        <x:f>SUM(K33:P33)</x:f>
        <x:v>218</x:v>
      </x:c>
      <x:c r="K33" s="82" t="n">
        <x:v>50</x:v>
      </x:c>
      <x:c r="L33" s="82" t="n">
        <x:v>25</x:v>
      </x:c>
      <x:c r="M33" s="82" t="n">
        <x:v>28</x:v>
      </x:c>
      <x:c r="N33" s="82" t="n">
        <x:v>45</x:v>
      </x:c>
      <x:c r="O33" s="82" t="n">
        <x:v>55</x:v>
      </x:c>
      <x:c r="P33" s="82" t="n">
        <x:v>15</x:v>
      </x:c>
      <x:c r="Q33" s="143" t="n">
        <x:f>MAX(L33,N33)*Metodologia!$B$16</x:f>
        <x:v>58.5</x:v>
      </x:c>
      <x:c r="R33" s="143" t="n">
        <x:f>MIN(L33,N33)*Metodologia!$B$16</x:f>
        <x:v>32.5</x:v>
      </x:c>
      <x:c r="S33" s="143" t="n">
        <x:f>SQRT(K33*AVERAGE(M33,O33)*Metodologia!$B$16)</x:f>
        <x:v>51.93746239469156</x:v>
      </x:c>
      <x:c r="T33" s="82" t="str">
        <x:v>Sim</x:v>
      </x:c>
      <x:c r="U33" s="82" t="str">
        <x:v>Rankeado</x:v>
      </x:c>
      <x:c r="V33" s="82" t="str">
        <x:v>Perfil especial; melhor atributo ofensivo 45, ofensiva secundária 25, robustez relativa 34% e Speed 15. O índice privilegia dano de hunt, sem ignorar sobrevivência.</x:v>
      </x:c>
      <x:c r="W33" s="82" t="str">
        <x:v>Fica atrás de Jigglypuff principalmente por ofensiva secundária 44.4% menor e robustez sustentada 10.4% menor.</x:v>
      </x:c>
      <x:c r="X33" s="82" t="str">
        <x:v>Fica à frente de Togepi porque possui teto ofensivo 12.5% maior e ofensiva secundária 25.0% maior.</x:v>
      </x:c>
      <x:c r="Y33" s="154" t="str">
        <x:v>https://poke.idleworld.online/pokepedia/pokemon/cleffa</x:v>
      </x:c>
    </x:row>
    <x:row r="34" ht="48" customHeight="1">
      <x:c r="A34" s="82" t="n">
        <x:f>IF(U34&lt;&gt;"Rankeado","",COUNTIFS($U$5:$U$40,"Rankeado",$I$5:$I$40,"&gt;"&amp;I34)+COUNTIFS($U$5:U34,"Rankeado",$I$5:I34,I34))</x:f>
        <x:v>30</x:v>
      </x:c>
      <x:c r="B34" s="82" t="n">
        <x:f>COUNTIF($I$5:$I$40,"&gt;"&amp;I34)+COUNTIF($I$5:I34,I34)</x:f>
        <x:v>34</x:v>
      </x:c>
      <x:c r="C34" s="82" t="str">
        <x:f>IF(I34&gt;=80,"S+",IF(I34&gt;=72,"S",IF(I34&gt;=65,"A",IF(I34&gt;=58,"B",IF(I34&gt;=50,"C",IF(I34&gt;=42,"D","E"))))))</x:f>
        <x:v>E</x:v>
      </x:c>
      <x:c r="D34" s="82" t="str">
        <x:f>IF(AND(U34="Rankeado",A34&lt;=6),"Sim","Não")</x:f>
        <x:v>Não</x:v>
      </x:c>
      <x:c r="E34" s="82" t="n">
        <x:v>175</x:v>
      </x:c>
      <x:c r="F34" s="80" t="str">
        <x:v>Togepi</x:v>
      </x:c>
      <x:c r="G34" s="82" t="str">
        <x:v>Fada</x:v>
      </x:c>
      <x:c r="H34" s="82" t="str">
        <x:v>Especial</x:v>
      </x:c>
      <x:c r="I34" s="142" t="n">
        <x:f>ROUND(100*(Metodologia!$B$17*(Q34/Metodologia!$B$22)+Metodologia!$B$18*(R34/Metodologia!$B$23)+Metodologia!$B$19*(S34/Metodologia!$B$24)+Metodologia!$B$20*(P34/Metodologia!$B$25)+Metodologia!$B$21*(J34/Metodologia!$B$26)),2)</x:f>
        <x:v>25.8</x:v>
      </x:c>
      <x:c r="J34" s="82" t="n">
        <x:f>SUM(K34:P34)</x:f>
        <x:v>245</x:v>
      </x:c>
      <x:c r="K34" s="82" t="n">
        <x:v>35</x:v>
      </x:c>
      <x:c r="L34" s="82" t="n">
        <x:v>20</x:v>
      </x:c>
      <x:c r="M34" s="82" t="n">
        <x:v>65</x:v>
      </x:c>
      <x:c r="N34" s="82" t="n">
        <x:v>40</x:v>
      </x:c>
      <x:c r="O34" s="82" t="n">
        <x:v>65</x:v>
      </x:c>
      <x:c r="P34" s="82" t="n">
        <x:v>20</x:v>
      </x:c>
      <x:c r="Q34" s="143" t="n">
        <x:f>MAX(L34,N34)*Metodologia!$B$16</x:f>
        <x:v>52</x:v>
      </x:c>
      <x:c r="R34" s="143" t="n">
        <x:f>MIN(L34,N34)*Metodologia!$B$16</x:f>
        <x:v>26</x:v>
      </x:c>
      <x:c r="S34" s="143" t="n">
        <x:f>SQRT(K34*AVERAGE(M34,O34)*Metodologia!$B$16)</x:f>
        <x:v>54.38290172471491</x:v>
      </x:c>
      <x:c r="T34" s="82" t="str">
        <x:v>Não</x:v>
      </x:c>
      <x:c r="U34" s="82" t="str">
        <x:v>Rankeado</x:v>
      </x:c>
      <x:c r="V34" s="82" t="str">
        <x:v>Perfil especial; melhor atributo ofensivo 40, ofensiva secundária 20, robustez relativa 35% e Speed 20. O índice privilegia dano de hunt, sem ignorar sobrevivência.</x:v>
      </x:c>
      <x:c r="W34" s="82" t="str">
        <x:v>Fica atrás de Cleffa principalmente por teto ofensivo 11.1% menor e ofensiva secundária 20.0% menor.</x:v>
      </x:c>
      <x:c r="X34" s="82" t="str">
        <x:v>Fica à frente de Igglybuff porque possui robustez sustentada 20.2% maior e velocidade 33.3% maior.</x:v>
      </x:c>
      <x:c r="Y34" s="154" t="str">
        <x:v>https://poke.idleworld.online/pokepedia/pokemon/togepi</x:v>
      </x:c>
    </x:row>
    <x:row r="35" ht="48" customHeight="1">
      <x:c r="A35" s="82" t="n">
        <x:f>IF(U35&lt;&gt;"Rankeado","",COUNTIFS($U$5:$U$40,"Rankeado",$I$5:$I$40,"&gt;"&amp;I35)+COUNTIFS($U$5:U35,"Rankeado",$I$5:I35,I35))</x:f>
        <x:v>31</x:v>
      </x:c>
      <x:c r="B35" s="82" t="n">
        <x:f>COUNTIF($I$5:$I$40,"&gt;"&amp;I35)+COUNTIF($I$5:I35,I35)</x:f>
        <x:v>35</x:v>
      </x:c>
      <x:c r="C35" s="82" t="str">
        <x:f>IF(I35&gt;=80,"S+",IF(I35&gt;=72,"S",IF(I35&gt;=65,"A",IF(I35&gt;=58,"B",IF(I35&gt;=50,"C",IF(I35&gt;=42,"D","E"))))))</x:f>
        <x:v>E</x:v>
      </x:c>
      <x:c r="D35" s="82" t="str">
        <x:f>IF(AND(U35="Rankeado",A35&lt;=6),"Sim","Não")</x:f>
        <x:v>Não</x:v>
      </x:c>
      <x:c r="E35" s="82" t="n">
        <x:v>174</x:v>
      </x:c>
      <x:c r="F35" s="80" t="str">
        <x:v>Igglybuff</x:v>
      </x:c>
      <x:c r="G35" s="82" t="str">
        <x:v>Normal / Fada</x:v>
      </x:c>
      <x:c r="H35" s="82" t="str">
        <x:v>Misto</x:v>
      </x:c>
      <x:c r="I35" s="142" t="n">
        <x:f>ROUND(100*(Metodologia!$B$17*(Q35/Metodologia!$B$22)+Metodologia!$B$18*(R35/Metodologia!$B$23)+Metodologia!$B$19*(S35/Metodologia!$B$24)+Metodologia!$B$20*(P35/Metodologia!$B$25)+Metodologia!$B$21*(J35/Metodologia!$B$26)),2)</x:f>
        <x:v>25.23</x:v>
      </x:c>
      <x:c r="J35" s="82" t="n">
        <x:f>SUM(K35:P35)</x:f>
        <x:v>210</x:v>
      </x:c>
      <x:c r="K35" s="82" t="n">
        <x:v>90</x:v>
      </x:c>
      <x:c r="L35" s="82" t="n">
        <x:v>30</x:v>
      </x:c>
      <x:c r="M35" s="82" t="n">
        <x:v>15</x:v>
      </x:c>
      <x:c r="N35" s="82" t="n">
        <x:v>40</x:v>
      </x:c>
      <x:c r="O35" s="82" t="n">
        <x:v>20</x:v>
      </x:c>
      <x:c r="P35" s="82" t="n">
        <x:v>15</x:v>
      </x:c>
      <x:c r="Q35" s="143" t="n">
        <x:f>MAX(L35,N35)*Metodologia!$B$16</x:f>
        <x:v>52</x:v>
      </x:c>
      <x:c r="R35" s="143" t="n">
        <x:f>MIN(L35,N35)*Metodologia!$B$16</x:f>
        <x:v>39</x:v>
      </x:c>
      <x:c r="S35" s="143" t="n">
        <x:f>SQRT(K35*AVERAGE(M35,O35)*Metodologia!$B$16)</x:f>
        <x:v>45.249309386995066</x:v>
      </x:c>
      <x:c r="T35" s="82" t="str">
        <x:v>Sim</x:v>
      </x:c>
      <x:c r="U35" s="82" t="str">
        <x:v>Rankeado</x:v>
      </x:c>
      <x:c r="V35" s="82" t="str">
        <x:v>Perfil misto; melhor atributo ofensivo 40, ofensiva secundária 30, robustez relativa 29% e Speed 15. O índice privilegia dano de hunt, sem ignorar sobrevivência.</x:v>
      </x:c>
      <x:c r="W35" s="82" t="str">
        <x:v>Fica atrás de Togepi principalmente por robustez sustentada 16.8% menor e velocidade 25.0% menor.</x:v>
      </x:c>
      <x:c r="X35" s="82" t="str">
        <x:v>Fica à frente de Marill porque possui teto ofensivo 100.0% maior e ofensiva secundária 50.0% maior.</x:v>
      </x:c>
      <x:c r="Y35" s="154" t="str">
        <x:v>https://poke.idleworld.online/pokepedia/pokemon/igglybuff</x:v>
      </x:c>
    </x:row>
    <x:row r="36" ht="48" customHeight="1">
      <x:c r="A36" s="82" t="n">
        <x:f>IF(U36&lt;&gt;"Rankeado","",COUNTIFS($U$5:$U$40,"Rankeado",$I$5:$I$40,"&gt;"&amp;I36)+COUNTIFS($U$5:U36,"Rankeado",$I$5:I36,I36))</x:f>
        <x:v>32</x:v>
      </x:c>
      <x:c r="B36" s="82" t="n">
        <x:f>COUNTIF($I$5:$I$40,"&gt;"&amp;I36)+COUNTIF($I$5:I36,I36)</x:f>
        <x:v>36</x:v>
      </x:c>
      <x:c r="C36" s="82" t="str">
        <x:f>IF(I36&gt;=80,"S+",IF(I36&gt;=72,"S",IF(I36&gt;=65,"A",IF(I36&gt;=58,"B",IF(I36&gt;=50,"C",IF(I36&gt;=42,"D","E"))))))</x:f>
        <x:v>E</x:v>
      </x:c>
      <x:c r="D36" s="82" t="str">
        <x:f>IF(AND(U36="Rankeado",A36&lt;=6),"Sim","Não")</x:f>
        <x:v>Não</x:v>
      </x:c>
      <x:c r="E36" s="82" t="n">
        <x:v>183</x:v>
      </x:c>
      <x:c r="F36" s="80" t="str">
        <x:v>Marill</x:v>
      </x:c>
      <x:c r="G36" s="82" t="str">
        <x:v>Água / Fada</x:v>
      </x:c>
      <x:c r="H36" s="82" t="str">
        <x:v>Misto</x:v>
      </x:c>
      <x:c r="I36" s="142" t="n">
        <x:f>ROUND(100*(Metodologia!$B$17*(Q36/Metodologia!$B$22)+Metodologia!$B$18*(R36/Metodologia!$B$23)+Metodologia!$B$19*(S36/Metodologia!$B$24)+Metodologia!$B$20*(P36/Metodologia!$B$25)+Metodologia!$B$21*(J36/Metodologia!$B$26)),2)</x:f>
        <x:v>20.64</x:v>
      </x:c>
      <x:c r="J36" s="82" t="n">
        <x:f>SUM(K36:P36)</x:f>
        <x:v>250</x:v>
      </x:c>
      <x:c r="K36" s="82" t="n">
        <x:v>70</x:v>
      </x:c>
      <x:c r="L36" s="82" t="n">
        <x:v>20</x:v>
      </x:c>
      <x:c r="M36" s="82" t="n">
        <x:v>50</x:v>
      </x:c>
      <x:c r="N36" s="82" t="n">
        <x:v>20</x:v>
      </x:c>
      <x:c r="O36" s="82" t="n">
        <x:v>50</x:v>
      </x:c>
      <x:c r="P36" s="82" t="n">
        <x:v>40</x:v>
      </x:c>
      <x:c r="Q36" s="143" t="n">
        <x:f>MAX(L36,N36)*Metodologia!$B$16</x:f>
        <x:v>26</x:v>
      </x:c>
      <x:c r="R36" s="143" t="n">
        <x:f>MIN(L36,N36)*Metodologia!$B$16</x:f>
        <x:v>26</x:v>
      </x:c>
      <x:c r="S36" s="143" t="n">
        <x:f>SQRT(K36*AVERAGE(M36,O36)*Metodologia!$B$16)</x:f>
        <x:v>67.45368781616021</x:v>
      </x:c>
      <x:c r="T36" s="82" t="str">
        <x:v>Sim</x:v>
      </x:c>
      <x:c r="U36" s="82" t="str">
        <x:v>Rankeado</x:v>
      </x:c>
      <x:c r="V36" s="82" t="str">
        <x:v>Perfil misto; melhor atributo ofensivo 20, ofensiva secundária 20, robustez relativa 44% e Speed 40. O índice privilegia dano de hunt, sem ignorar sobrevivência.</x:v>
      </x:c>
      <x:c r="W36" s="82" t="str">
        <x:v>Fica atrás de Igglybuff principalmente por teto ofensivo 50.0% menor e ofensiva secundária 33.3% menor.</x:v>
      </x:c>
      <x:c r="X36" s="82" t="str">
        <x:v>É o último utilizável deste clã.</x:v>
      </x:c>
      <x:c r="Y36" s="154" t="str">
        <x:v>https://poke.idleworld.online/pokepedia/pokemon/marill</x:v>
      </x:c>
    </x:row>
    <x:row r="37" ht="48" customHeight="1">
      <x:c r="A37" s="82" t="str">
        <x:f>IF(U37&lt;&gt;"Rankeado","",COUNTIFS($U$5:$U$40,"Rankeado",$I$5:$I$40,"&gt;"&amp;I37)+COUNTIFS($U$5:U37,"Rankeado",$I$5:I37,I37))</x:f>
      </x:c>
      <x:c r="B37" s="82" t="n">
        <x:f>COUNTIF($I$5:$I$40,"&gt;"&amp;I37)+COUNTIF($I$5:I37,I37)</x:f>
        <x:v>1</x:v>
      </x:c>
      <x:c r="C37" s="82" t="str">
        <x:f>IF(I37&gt;=80,"S+",IF(I37&gt;=72,"S",IF(I37&gt;=65,"A",IF(I37&gt;=58,"B",IF(I37&gt;=50,"C",IF(I37&gt;=42,"D","E"))))))</x:f>
        <x:v>S+</x:v>
      </x:c>
      <x:c r="D37" s="82" t="str">
        <x:f>IF(AND(U37="Rankeado",A37&lt;=6),"Sim","Não")</x:f>
        <x:v>Não</x:v>
      </x:c>
      <x:c r="E37" s="82" t="n">
        <x:v>150</x:v>
      </x:c>
      <x:c r="F37" s="80" t="str">
        <x:v>Mewtwo</x:v>
      </x:c>
      <x:c r="G37" s="82" t="str">
        <x:v>Psíquico</x:v>
      </x:c>
      <x:c r="H37" s="82" t="str">
        <x:v>Especial</x:v>
      </x:c>
      <x:c r="I37" s="142" t="n">
        <x:f>ROUND(100*(Metodologia!$B$17*(Q37/Metodologia!$B$22)+Metodologia!$B$18*(R37/Metodologia!$B$23)+Metodologia!$B$19*(S37/Metodologia!$B$24)+Metodologia!$B$20*(P37/Metodologia!$B$25)+Metodologia!$B$21*(J37/Metodologia!$B$26)),2)</x:f>
        <x:v>94.44</x:v>
      </x:c>
      <x:c r="J37" s="82" t="n">
        <x:f>SUM(K37:P37)</x:f>
        <x:v>680</x:v>
      </x:c>
      <x:c r="K37" s="82" t="n">
        <x:v>106</x:v>
      </x:c>
      <x:c r="L37" s="82" t="n">
        <x:v>110</x:v>
      </x:c>
      <x:c r="M37" s="82" t="n">
        <x:v>90</x:v>
      </x:c>
      <x:c r="N37" s="82" t="n">
        <x:v>154</x:v>
      </x:c>
      <x:c r="O37" s="82" t="n">
        <x:v>90</x:v>
      </x:c>
      <x:c r="P37" s="82" t="n">
        <x:v>130</x:v>
      </x:c>
      <x:c r="Q37" s="143" t="n">
        <x:f>MAX(L37,N37)*Metodologia!$B$16</x:f>
        <x:v>200.20000000000002</x:v>
      </x:c>
      <x:c r="R37" s="143" t="n">
        <x:f>MIN(L37,N37)*Metodologia!$B$16</x:f>
        <x:v>143</x:v>
      </x:c>
      <x:c r="S37" s="143" t="n">
        <x:f>SQRT(K37*AVERAGE(M37,O37)*Metodologia!$B$16)</x:f>
        <x:v>111.36426715962351</x:v>
      </x:c>
      <x:c r="T37" s="82" t="str">
        <x:v>Não</x:v>
      </x:c>
      <x:c r="U37" s="82" t="str">
        <x:v>Excluído — lendário/mítico</x:v>
      </x:c>
      <x:c r="V37" s="82" t="str">
        <x:v>Espécie lendária/mítica: mantida na auditoria, mas fora do time utilizável solicitado.</x:v>
      </x:c>
      <x:c r="W37" s="82" t="str"/>
      <x:c r="X37" s="82" t="str"/>
      <x:c r="Y37" s="154" t="str">
        <x:v>https://poke.idleworld.online/pokepedia/pokemon/mewtwo</x:v>
      </x:c>
    </x:row>
    <x:row r="38" ht="48" customHeight="1">
      <x:c r="A38" s="82" t="str">
        <x:f>IF(U38&lt;&gt;"Rankeado","",COUNTIFS($U$5:$U$40,"Rankeado",$I$5:$I$40,"&gt;"&amp;I38)+COUNTIFS($U$5:U38,"Rankeado",$I$5:I38,I38))</x:f>
      </x:c>
      <x:c r="B38" s="82" t="n">
        <x:f>COUNTIF($I$5:$I$40,"&gt;"&amp;I38)+COUNTIF($I$5:I38,I38)</x:f>
        <x:v>5</x:v>
      </x:c>
      <x:c r="C38" s="82" t="str">
        <x:f>IF(I38&gt;=80,"S+",IF(I38&gt;=72,"S",IF(I38&gt;=65,"A",IF(I38&gt;=58,"B",IF(I38&gt;=50,"C",IF(I38&gt;=42,"D","E"))))))</x:f>
        <x:v>A</x:v>
      </x:c>
      <x:c r="D38" s="82" t="str">
        <x:f>IF(AND(U38="Rankeado",A38&lt;=6),"Sim","Não")</x:f>
        <x:v>Não</x:v>
      </x:c>
      <x:c r="E38" s="82" t="n">
        <x:v>151</x:v>
      </x:c>
      <x:c r="F38" s="80" t="str">
        <x:v>Mew</x:v>
      </x:c>
      <x:c r="G38" s="82" t="str">
        <x:v>Psíquico</x:v>
      </x:c>
      <x:c r="H38" s="82" t="str">
        <x:v>Misto</x:v>
      </x:c>
      <x:c r="I38" s="142" t="n">
        <x:f>ROUND(100*(Metodologia!$B$17*(Q38/Metodologia!$B$22)+Metodologia!$B$18*(R38/Metodologia!$B$23)+Metodologia!$B$19*(S38/Metodologia!$B$24)+Metodologia!$B$20*(P38/Metodologia!$B$25)+Metodologia!$B$21*(J38/Metodologia!$B$26)),2)</x:f>
        <x:v>70.16</x:v>
      </x:c>
      <x:c r="J38" s="82" t="n">
        <x:f>SUM(K38:P38)</x:f>
        <x:v>600</x:v>
      </x:c>
      <x:c r="K38" s="82" t="n">
        <x:v>100</x:v>
      </x:c>
      <x:c r="L38" s="82" t="n">
        <x:v>100</x:v>
      </x:c>
      <x:c r="M38" s="82" t="n">
        <x:v>100</x:v>
      </x:c>
      <x:c r="N38" s="82" t="n">
        <x:v>100</x:v>
      </x:c>
      <x:c r="O38" s="82" t="n">
        <x:v>100</x:v>
      </x:c>
      <x:c r="P38" s="82" t="n">
        <x:v>100</x:v>
      </x:c>
      <x:c r="Q38" s="143" t="n">
        <x:f>MAX(L38,N38)*Metodologia!$B$16</x:f>
        <x:v>130</x:v>
      </x:c>
      <x:c r="R38" s="143" t="n">
        <x:f>MIN(L38,N38)*Metodologia!$B$16</x:f>
        <x:v>130</x:v>
      </x:c>
      <x:c r="S38" s="143" t="n">
        <x:f>SQRT(K38*AVERAGE(M38,O38)*Metodologia!$B$16)</x:f>
        <x:v>114.0175425099138</x:v>
      </x:c>
      <x:c r="T38" s="82" t="str">
        <x:v>Não</x:v>
      </x:c>
      <x:c r="U38" s="82" t="str">
        <x:v>Excluído — lendário/mítico</x:v>
      </x:c>
      <x:c r="V38" s="82" t="str">
        <x:v>Espécie lendária/mítica: mantida na auditoria, mas fora do time utilizável solicitado.</x:v>
      </x:c>
      <x:c r="W38" s="82" t="str"/>
      <x:c r="X38" s="82" t="str"/>
      <x:c r="Y38" s="154" t="str">
        <x:v>https://poke.idleworld.online/pokepedia/pokemon/mew</x:v>
      </x:c>
    </x:row>
    <x:row r="39" ht="48" customHeight="1">
      <x:c r="A39" s="82" t="str">
        <x:f>IF(U39&lt;&gt;"Rankeado","",COUNTIFS($U$5:$U$40,"Rankeado",$I$5:$I$40,"&gt;"&amp;I39)+COUNTIFS($U$5:U39,"Rankeado",$I$5:I39,I39))</x:f>
      </x:c>
      <x:c r="B39" s="82" t="n">
        <x:f>COUNTIF($I$5:$I$40,"&gt;"&amp;I39)+COUNTIF($I$5:I39,I39)</x:f>
        <x:v>6</x:v>
      </x:c>
      <x:c r="C39" s="82" t="str">
        <x:f>IF(I39&gt;=80,"S+",IF(I39&gt;=72,"S",IF(I39&gt;=65,"A",IF(I39&gt;=58,"B",IF(I39&gt;=50,"C",IF(I39&gt;=42,"D","E"))))))</x:f>
        <x:v>A</x:v>
      </x:c>
      <x:c r="D39" s="82" t="str">
        <x:f>IF(AND(U39="Rankeado",A39&lt;=6),"Sim","Não")</x:f>
        <x:v>Não</x:v>
      </x:c>
      <x:c r="E39" s="82" t="n">
        <x:v>251</x:v>
      </x:c>
      <x:c r="F39" s="80" t="str">
        <x:v>Celebi</x:v>
      </x:c>
      <x:c r="G39" s="82" t="str">
        <x:v>Psíquico / Planta</x:v>
      </x:c>
      <x:c r="H39" s="82" t="str">
        <x:v>Misto</x:v>
      </x:c>
      <x:c r="I39" s="142" t="n">
        <x:f>ROUND(100*(Metodologia!$B$17*(Q39/Metodologia!$B$22)+Metodologia!$B$18*(R39/Metodologia!$B$23)+Metodologia!$B$19*(S39/Metodologia!$B$24)+Metodologia!$B$20*(P39/Metodologia!$B$25)+Metodologia!$B$21*(J39/Metodologia!$B$26)),2)</x:f>
        <x:v>70.16</x:v>
      </x:c>
      <x:c r="J39" s="82" t="n">
        <x:f>SUM(K39:P39)</x:f>
        <x:v>600</x:v>
      </x:c>
      <x:c r="K39" s="82" t="n">
        <x:v>100</x:v>
      </x:c>
      <x:c r="L39" s="82" t="n">
        <x:v>100</x:v>
      </x:c>
      <x:c r="M39" s="82" t="n">
        <x:v>100</x:v>
      </x:c>
      <x:c r="N39" s="82" t="n">
        <x:v>100</x:v>
      </x:c>
      <x:c r="O39" s="82" t="n">
        <x:v>100</x:v>
      </x:c>
      <x:c r="P39" s="82" t="n">
        <x:v>100</x:v>
      </x:c>
      <x:c r="Q39" s="143" t="n">
        <x:f>MAX(L39,N39)*Metodologia!$B$16</x:f>
        <x:v>130</x:v>
      </x:c>
      <x:c r="R39" s="143" t="n">
        <x:f>MIN(L39,N39)*Metodologia!$B$16</x:f>
        <x:v>130</x:v>
      </x:c>
      <x:c r="S39" s="143" t="n">
        <x:f>SQRT(K39*AVERAGE(M39,O39)*Metodologia!$B$16)</x:f>
        <x:v>114.0175425099138</x:v>
      </x:c>
      <x:c r="T39" s="82" t="str">
        <x:v>Não</x:v>
      </x:c>
      <x:c r="U39" s="82" t="str">
        <x:v>Excluído — lendário/mítico</x:v>
      </x:c>
      <x:c r="V39" s="82" t="str">
        <x:v>Espécie lendária/mítica: mantida na auditoria, mas fora do time utilizável solicitado.</x:v>
      </x:c>
      <x:c r="W39" s="82" t="str"/>
      <x:c r="X39" s="82" t="str"/>
      <x:c r="Y39" s="154" t="str">
        <x:v>https://poke.idleworld.online/pokepedia/pokemon/celebi</x:v>
      </x:c>
    </x:row>
    <x:row r="40" ht="48" customHeight="1">
      <x:c r="A40" s="86" t="str">
        <x:f>IF(U40&lt;&gt;"Rankeado","",COUNTIFS($U$5:$U$40,"Rankeado",$I$5:$I$40,"&gt;"&amp;I40)+COUNTIFS($U$5:U40,"Rankeado",$I$5:I40,I40))</x:f>
      </x:c>
      <x:c r="B40" s="86" t="n">
        <x:f>COUNTIF($I$5:$I$40,"&gt;"&amp;I40)+COUNTIF($I$5:I40,I40)</x:f>
        <x:v>7</x:v>
      </x:c>
      <x:c r="C40" s="86" t="str">
        <x:f>IF(I40&gt;=80,"S+",IF(I40&gt;=72,"S",IF(I40&gt;=65,"A",IF(I40&gt;=58,"B",IF(I40&gt;=50,"C",IF(I40&gt;=42,"D","E"))))))</x:f>
        <x:v>A</x:v>
      </x:c>
      <x:c r="D40" s="86" t="str">
        <x:f>IF(AND(U40="Rankeado",A40&lt;=6),"Sim","Não")</x:f>
        <x:v>Não</x:v>
      </x:c>
      <x:c r="E40" s="86" t="n">
        <x:v>249</x:v>
      </x:c>
      <x:c r="F40" s="84" t="str">
        <x:v>Lugia</x:v>
      </x:c>
      <x:c r="G40" s="86" t="str">
        <x:v>Psíquico / Voador</x:v>
      </x:c>
      <x:c r="H40" s="86" t="str">
        <x:v>Misto</x:v>
      </x:c>
      <x:c r="I40" s="145" t="n">
        <x:f>ROUND(100*(Metodologia!$B$17*(Q40/Metodologia!$B$22)+Metodologia!$B$18*(R40/Metodologia!$B$23)+Metodologia!$B$19*(S40/Metodologia!$B$24)+Metodologia!$B$20*(P40/Metodologia!$B$25)+Metodologia!$B$21*(J40/Metodologia!$B$26)),2)</x:f>
        <x:v>69.11</x:v>
      </x:c>
      <x:c r="J40" s="86" t="n">
        <x:f>SUM(K40:P40)</x:f>
        <x:v>680</x:v>
      </x:c>
      <x:c r="K40" s="86" t="n">
        <x:v>106</x:v>
      </x:c>
      <x:c r="L40" s="86" t="n">
        <x:v>90</x:v>
      </x:c>
      <x:c r="M40" s="86" t="n">
        <x:v>130</x:v>
      </x:c>
      <x:c r="N40" s="86" t="n">
        <x:v>90</x:v>
      </x:c>
      <x:c r="O40" s="86" t="n">
        <x:v>154</x:v>
      </x:c>
      <x:c r="P40" s="86" t="n">
        <x:v>110</x:v>
      </x:c>
      <x:c r="Q40" s="146" t="n">
        <x:f>MAX(L40,N40)*Metodologia!$B$16</x:f>
        <x:v>117</x:v>
      </x:c>
      <x:c r="R40" s="146" t="n">
        <x:f>MIN(L40,N40)*Metodologia!$B$16</x:f>
        <x:v>117</x:v>
      </x:c>
      <x:c r="S40" s="146" t="n">
        <x:f>SQRT(K40*AVERAGE(M40,O40)*Metodologia!$B$16)</x:f>
        <x:v>139.88423785401986</x:v>
      </x:c>
      <x:c r="T40" s="86" t="str">
        <x:v>Não</x:v>
      </x:c>
      <x:c r="U40" s="86" t="str">
        <x:v>Excluído — lendário/mítico</x:v>
      </x:c>
      <x:c r="V40" s="86" t="str">
        <x:v>Espécie lendária/mítica: mantida na auditoria, mas fora do time utilizável solicitado.</x:v>
      </x:c>
      <x:c r="W40" s="86" t="str"/>
      <x:c r="X40" s="86" t="str"/>
      <x:c r="Y40" s="155" t="str">
        <x:v>https://poke.idleworld.online/pokepedia/pokemon/lugia</x:v>
      </x:c>
    </x:row>
  </x:sheetData>
  <x:mergeCells>
    <x:mergeCell ref="A1:Y1"/>
    <x:mergeCell ref="A2:Y2"/>
  </x:mergeCells>
  <x:conditionalFormatting sqref="I5:I40">
    <x:cfRule type="colorScale" priority="1">
      <x:colorScale>
        <x:cfvo type="min"/>
        <x:cfvo type="percentile" val="50"/>
        <x:cfvo type="max"/>
        <x:color rgb="FF6B1F1A"/>
        <x:color rgb="FFD98350"/>
        <x:color rgb="FF5F9D62"/>
      </x:colorScale>
    </x:cfRule>
  </x:conditionalFormatting>
  <x:conditionalFormatting sqref="A5:Y40">
    <x:cfRule type="expression" dxfId="14" priority="2">
      <x:formula>AND($D5="Sim",$U5="Rankeado")</x:formula>
    </x:cfRule>
    <x:cfRule type="expression" dxfId="15" priority="3">
      <x:formula>$U5="Excluído — lendário/mítico"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d352fac66844a3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8" hidden="0" customWidth="1"/>
    <x:col min="4" max="4" width="10" hidden="0" customWidth="1"/>
    <x:col min="5" max="5" width="7" hidden="0" customWidth="1"/>
    <x:col min="6" max="6" width="20" hidden="0" customWidth="1"/>
    <x:col min="7" max="7" width="22" hidden="0" customWidth="1"/>
    <x:col min="8" max="8" width="12" hidden="0" customWidth="1"/>
    <x:col min="9" max="9" width="11" hidden="0" customWidth="1"/>
    <x:col min="10" max="10" width="9" hidden="0" customWidth="1"/>
    <x:col min="11" max="11" width="8" hidden="0" customWidth="1"/>
    <x:col min="12" max="12" width="8" hidden="0" customWidth="1"/>
    <x:col min="13" max="13" width="8" hidden="0" customWidth="1"/>
    <x:col min="14" max="14" width="10" hidden="0" customWidth="1"/>
    <x:col min="15" max="15" width="10" hidden="0" customWidth="1"/>
    <x:col min="16" max="16" width="9" hidden="0" customWidth="1"/>
    <x:col min="17" max="17" width="18" hidden="0" customWidth="1"/>
    <x:col min="18" max="18" width="21" hidden="0" customWidth="1"/>
    <x:col min="19" max="19" width="16" hidden="0" customWidth="1"/>
    <x:col min="20" max="20" width="13" hidden="0" customWidth="1"/>
    <x:col min="21" max="21" width="23" hidden="0" customWidth="1"/>
    <x:col min="22" max="22" width="48" hidden="0" customWidth="1"/>
    <x:col min="23" max="23" width="52" hidden="0" customWidth="1"/>
    <x:col min="24" max="24" width="52" hidden="0" customWidth="1"/>
    <x:col min="25" max="25" width="56" hidden="0" customWidth="1"/>
  </x:cols>
  <x:sheetData>
    <x:row r="1" ht="34" customHeight="1">
      <x:c r="A1" s="5" t="str">
        <x:v>Seavell · ranking completo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 ht="24" customHeight="1">
      <x:c r="A2" s="12" t="str">
        <x:v>Água / Gelo · 55 utilizáveis · time recomendado: Gyarados · Kingler · Vaporeon · Kabutops · Feraligatr · Omastar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</x:row>
    <x:row r="4">
      <x:c r="A4" s="115" t="str">
        <x:v>Posição</x:v>
      </x:c>
      <x:c r="B4" s="115" t="str">
        <x:v>Rank teórico</x:v>
      </x:c>
      <x:c r="C4" s="115" t="str">
        <x:v>Tier</x:v>
      </x:c>
      <x:c r="D4" s="115" t="str">
        <x:v>Time 6</x:v>
      </x:c>
      <x:c r="E4" s="115" t="str">
        <x:v>#</x:v>
      </x:c>
      <x:c r="F4" s="115" t="str">
        <x:v>Pokémon</x:v>
      </x:c>
      <x:c r="G4" s="115" t="str">
        <x:v>Tipos</x:v>
      </x:c>
      <x:c r="H4" s="115" t="str">
        <x:v>Perfil</x:v>
      </x:c>
      <x:c r="I4" s="115" t="str">
        <x:v>Score</x:v>
      </x:c>
      <x:c r="J4" s="115" t="str">
        <x:v>BST</x:v>
      </x:c>
      <x:c r="K4" s="115" t="str">
        <x:v>HP</x:v>
      </x:c>
      <x:c r="L4" s="115" t="str">
        <x:v>ATK</x:v>
      </x:c>
      <x:c r="M4" s="115" t="str">
        <x:v>DEF</x:v>
      </x:c>
      <x:c r="N4" s="115" t="str">
        <x:v>Sp. ATK</x:v>
      </x:c>
      <x:c r="O4" s="115" t="str">
        <x:v>Sp. DEF</x:v>
      </x:c>
      <x:c r="P4" s="115" t="str">
        <x:v>Speed</x:v>
      </x:c>
      <x:c r="Q4" s="115" t="str">
        <x:v>Teto ofensivo R5</x:v>
      </x:c>
      <x:c r="R4" s="115" t="str">
        <x:v>Ofensiva secundária R5</x:v>
      </x:c>
      <x:c r="S4" s="115" t="str">
        <x:v>Robustez R5</x:v>
      </x:c>
      <x:c r="T4" s="115" t="str">
        <x:v>Hunt Kanto</x:v>
      </x:c>
      <x:c r="U4" s="115" t="str">
        <x:v>Status</x:v>
      </x:c>
      <x:c r="V4" s="115" t="str">
        <x:v>Leitura técnica</x:v>
      </x:c>
      <x:c r="W4" s="115" t="str">
        <x:v>Por que abaixo do anterior</x:v>
      </x:c>
      <x:c r="X4" s="115" t="str">
        <x:v>Por que acima do seguinte</x:v>
      </x:c>
      <x:c r="Y4" s="115" t="str">
        <x:v>Fonte</x:v>
      </x:c>
    </x:row>
    <x:row r="5" ht="48" customHeight="1">
      <x:c r="A5" s="82" t="n">
        <x:f>IF(U5&lt;&gt;"Rankeado","",COUNTIFS($U$5:$U$61,"Rankeado",$I$5:$I$61,"&gt;"&amp;I5)+COUNTIFS($U$5:U5,"Rankeado",$I$5:I5,I5))</x:f>
        <x:v>1</x:v>
      </x:c>
      <x:c r="B5" s="82" t="n">
        <x:f>COUNTIF($I$5:$I$61,"&gt;"&amp;I5)+COUNTIF($I$5:I5,I5)</x:f>
        <x:v>1</x:v>
      </x:c>
      <x:c r="C5" s="82" t="str">
        <x:f>IF(I5&gt;=80,"S+",IF(I5&gt;=72,"S",IF(I5&gt;=65,"A",IF(I5&gt;=58,"B",IF(I5&gt;=50,"C",IF(I5&gt;=42,"D","E"))))))</x:f>
        <x:v>S</x:v>
      </x:c>
      <x:c r="D5" s="82" t="str">
        <x:f>IF(AND(U5="Rankeado",A5&lt;=6),"Sim","Não")</x:f>
        <x:v>Sim</x:v>
      </x:c>
      <x:c r="E5" s="82" t="n">
        <x:v>130</x:v>
      </x:c>
      <x:c r="F5" s="80" t="str">
        <x:v>Gyarados</x:v>
      </x:c>
      <x:c r="G5" s="82" t="str">
        <x:v>Água / Voador</x:v>
      </x:c>
      <x:c r="H5" s="82" t="str">
        <x:v>Físico</x:v>
      </x:c>
      <x:c r="I5" s="142" t="n">
        <x:f>ROUND(100*(Metodologia!$B$17*(Q5/Metodologia!$B$22)+Metodologia!$B$18*(R5/Metodologia!$B$23)+Metodologia!$B$19*(S5/Metodologia!$B$24)+Metodologia!$B$20*(P5/Metodologia!$B$25)+Metodologia!$B$21*(J5/Metodologia!$B$26)),2)</x:f>
        <x:v>73.7</x:v>
      </x:c>
      <x:c r="J5" s="82" t="n">
        <x:f>SUM(K5:P5)</x:f>
        <x:v>540</x:v>
      </x:c>
      <x:c r="K5" s="82" t="n">
        <x:v>95</x:v>
      </x:c>
      <x:c r="L5" s="82" t="n">
        <x:v>125</x:v>
      </x:c>
      <x:c r="M5" s="82" t="n">
        <x:v>79</x:v>
      </x:c>
      <x:c r="N5" s="82" t="n">
        <x:v>60</x:v>
      </x:c>
      <x:c r="O5" s="82" t="n">
        <x:v>100</x:v>
      </x:c>
      <x:c r="P5" s="82" t="n">
        <x:v>81</x:v>
      </x:c>
      <x:c r="Q5" s="143" t="n">
        <x:f>MAX(L5,N5)*Metodologia!$B$16</x:f>
        <x:v>162.5</x:v>
      </x:c>
      <x:c r="R5" s="143" t="n">
        <x:f>MIN(L5,N5)*Metodologia!$B$16</x:f>
        <x:v>78</x:v>
      </x:c>
      <x:c r="S5" s="143" t="n">
        <x:f>SQRT(K5*AVERAGE(M5,O5)*Metodologia!$B$16)</x:f>
        <x:v>105.13443774520317</x:v>
      </x:c>
      <x:c r="T5" s="82" t="str">
        <x:v>Sim</x:v>
      </x:c>
      <x:c r="U5" s="82" t="str">
        <x:v>Rankeado</x:v>
      </x:c>
      <x:c r="V5" s="82" t="str">
        <x:v>Perfil físico; melhor atributo ofensivo 125, ofensiva secundária 60, robustez relativa 68% e Speed 81. O índice privilegia dano de hunt, sem ignorar sobrevivência.</x:v>
      </x:c>
      <x:c r="W5" s="82" t="str">
        <x:v>É o líder do clã no modelo.</x:v>
      </x:c>
      <x:c r="X5" s="82" t="str">
        <x:v>Fica à frente de Kingler porque possui robustez sustentada 36.9% maior e ofensiva secundária 20.0% maior.</x:v>
      </x:c>
      <x:c r="Y5" s="154" t="str">
        <x:v>https://poke.idleworld.online/pokepedia/pokemon/gyarados</x:v>
      </x:c>
    </x:row>
    <x:row r="6" ht="48" customHeight="1">
      <x:c r="A6" s="82" t="n">
        <x:f>IF(U6&lt;&gt;"Rankeado","",COUNTIFS($U$5:$U$61,"Rankeado",$I$5:$I$61,"&gt;"&amp;I6)+COUNTIFS($U$5:U6,"Rankeado",$I$5:I6,I6))</x:f>
        <x:v>2</x:v>
      </x:c>
      <x:c r="B6" s="82" t="n">
        <x:f>COUNTIF($I$5:$I$61,"&gt;"&amp;I6)+COUNTIF($I$5:I6,I6)</x:f>
        <x:v>2</x:v>
      </x:c>
      <x:c r="C6" s="82" t="str">
        <x:f>IF(I6&gt;=80,"S+",IF(I6&gt;=72,"S",IF(I6&gt;=65,"A",IF(I6&gt;=58,"B",IF(I6&gt;=50,"C",IF(I6&gt;=42,"D","E"))))))</x:f>
        <x:v>A</x:v>
      </x:c>
      <x:c r="D6" s="82" t="str">
        <x:f>IF(AND(U6="Rankeado",A6&lt;=6),"Sim","Não")</x:f>
        <x:v>Sim</x:v>
      </x:c>
      <x:c r="E6" s="82" t="n">
        <x:v>99</x:v>
      </x:c>
      <x:c r="F6" s="80" t="str">
        <x:v>Kingler</x:v>
      </x:c>
      <x:c r="G6" s="82" t="str">
        <x:v>Água</x:v>
      </x:c>
      <x:c r="H6" s="82" t="str">
        <x:v>Físico</x:v>
      </x:c>
      <x:c r="I6" s="142" t="n">
        <x:f>ROUND(100*(Metodologia!$B$17*(Q6/Metodologia!$B$22)+Metodologia!$B$18*(R6/Metodologia!$B$23)+Metodologia!$B$19*(S6/Metodologia!$B$24)+Metodologia!$B$20*(P6/Metodologia!$B$25)+Metodologia!$B$21*(J6/Metodologia!$B$26)),2)</x:f>
        <x:v>71.12</x:v>
      </x:c>
      <x:c r="J6" s="82" t="n">
        <x:f>SUM(K6:P6)</x:f>
        <x:v>475</x:v>
      </x:c>
      <x:c r="K6" s="82" t="n">
        <x:v>55</x:v>
      </x:c>
      <x:c r="L6" s="82" t="n">
        <x:v>130</x:v>
      </x:c>
      <x:c r="M6" s="82" t="n">
        <x:v>115</x:v>
      </x:c>
      <x:c r="N6" s="82" t="n">
        <x:v>50</x:v>
      </x:c>
      <x:c r="O6" s="82" t="n">
        <x:v>50</x:v>
      </x:c>
      <x:c r="P6" s="82" t="n">
        <x:v>75</x:v>
      </x:c>
      <x:c r="Q6" s="143" t="n">
        <x:f>MAX(L6,N6)*Metodologia!$B$16</x:f>
        <x:v>169</x:v>
      </x:c>
      <x:c r="R6" s="143" t="n">
        <x:f>MIN(L6,N6)*Metodologia!$B$16</x:f>
        <x:v>65</x:v>
      </x:c>
      <x:c r="S6" s="143" t="n">
        <x:f>SQRT(K6*AVERAGE(M6,O6)*Metodologia!$B$16)</x:f>
        <x:v>76.80332024072918</x:v>
      </x:c>
      <x:c r="T6" s="82" t="str">
        <x:v>Sim</x:v>
      </x:c>
      <x:c r="U6" s="82" t="str">
        <x:v>Rankeado</x:v>
      </x:c>
      <x:c r="V6" s="82" t="str">
        <x:v>Perfil físico; melhor atributo ofensivo 130, ofensiva secundária 50, robustez relativa 50% e Speed 75. O índice privilegia dano de hunt, sem ignorar sobrevivência.</x:v>
      </x:c>
      <x:c r="W6" s="82" t="str">
        <x:v>Fica atrás de Gyarados principalmente por robustez sustentada 26.9% menor e ofensiva secundária 16.7% menor.</x:v>
      </x:c>
      <x:c r="X6" s="82" t="str">
        <x:v>Fica à frente de Vaporeon porque possui teto ofensivo 18.2% maior e velocidade 15.4% maior.</x:v>
      </x:c>
      <x:c r="Y6" s="154" t="str">
        <x:v>https://poke.idleworld.online/pokepedia/pokemon/kingler</x:v>
      </x:c>
    </x:row>
    <x:row r="7" ht="48" customHeight="1">
      <x:c r="A7" s="82" t="n">
        <x:f>IF(U7&lt;&gt;"Rankeado","",COUNTIFS($U$5:$U$61,"Rankeado",$I$5:$I$61,"&gt;"&amp;I7)+COUNTIFS($U$5:U7,"Rankeado",$I$5:I7,I7))</x:f>
        <x:v>3</x:v>
      </x:c>
      <x:c r="B7" s="82" t="n">
        <x:f>COUNTIF($I$5:$I$61,"&gt;"&amp;I7)+COUNTIF($I$5:I7,I7)</x:f>
        <x:v>3</x:v>
      </x:c>
      <x:c r="C7" s="82" t="str">
        <x:f>IF(I7&gt;=80,"S+",IF(I7&gt;=72,"S",IF(I7&gt;=65,"A",IF(I7&gt;=58,"B",IF(I7&gt;=50,"C",IF(I7&gt;=42,"D","E"))))))</x:f>
        <x:v>A</x:v>
      </x:c>
      <x:c r="D7" s="82" t="str">
        <x:f>IF(AND(U7="Rankeado",A7&lt;=6),"Sim","Não")</x:f>
        <x:v>Sim</x:v>
      </x:c>
      <x:c r="E7" s="82" t="n">
        <x:v>134</x:v>
      </x:c>
      <x:c r="F7" s="80" t="str">
        <x:v>Vaporeon</x:v>
      </x:c>
      <x:c r="G7" s="82" t="str">
        <x:v>Água</x:v>
      </x:c>
      <x:c r="H7" s="82" t="str">
        <x:v>Especial</x:v>
      </x:c>
      <x:c r="I7" s="142" t="n">
        <x:f>ROUND(100*(Metodologia!$B$17*(Q7/Metodologia!$B$22)+Metodologia!$B$18*(R7/Metodologia!$B$23)+Metodologia!$B$19*(S7/Metodologia!$B$24)+Metodologia!$B$20*(P7/Metodologia!$B$25)+Metodologia!$B$21*(J7/Metodologia!$B$26)),2)</x:f>
        <x:v>68.03</x:v>
      </x:c>
      <x:c r="J7" s="82" t="n">
        <x:f>SUM(K7:P7)</x:f>
        <x:v>525</x:v>
      </x:c>
      <x:c r="K7" s="82" t="n">
        <x:v>130</x:v>
      </x:c>
      <x:c r="L7" s="82" t="n">
        <x:v>65</x:v>
      </x:c>
      <x:c r="M7" s="82" t="n">
        <x:v>60</x:v>
      </x:c>
      <x:c r="N7" s="82" t="n">
        <x:v>110</x:v>
      </x:c>
      <x:c r="O7" s="82" t="n">
        <x:v>95</x:v>
      </x:c>
      <x:c r="P7" s="82" t="n">
        <x:v>65</x:v>
      </x:c>
      <x:c r="Q7" s="143" t="n">
        <x:f>MAX(L7,N7)*Metodologia!$B$16</x:f>
        <x:v>143</x:v>
      </x:c>
      <x:c r="R7" s="143" t="n">
        <x:f>MIN(L7,N7)*Metodologia!$B$16</x:f>
        <x:v>84.5</x:v>
      </x:c>
      <x:c r="S7" s="143" t="n">
        <x:f>SQRT(K7*AVERAGE(M7,O7)*Metodologia!$B$16)</x:f>
        <x:v>114.44430960078355</x:v>
      </x:c>
      <x:c r="T7" s="82" t="str">
        <x:v>Não</x:v>
      </x:c>
      <x:c r="U7" s="82" t="str">
        <x:v>Rankeado</x:v>
      </x:c>
      <x:c r="V7" s="82" t="str">
        <x:v>Perfil especial; melhor atributo ofensivo 110, ofensiva secundária 65, robustez relativa 74% e Speed 65. O índice privilegia dano de hunt, sem ignorar sobrevivência.</x:v>
      </x:c>
      <x:c r="W7" s="82" t="str">
        <x:v>Fica atrás de Kingler principalmente por teto ofensivo 15.4% menor e velocidade 13.3% menor.</x:v>
      </x:c>
      <x:c r="X7" s="82" t="str">
        <x:v>Fica à frente de Kabutops porque possui robustez sustentada 38.5% maior e total de stats 6.1% maior.</x:v>
      </x:c>
      <x:c r="Y7" s="154" t="str">
        <x:v>https://poke.idleworld.online/pokepedia/pokemon/vaporeon</x:v>
      </x:c>
    </x:row>
    <x:row r="8" ht="48" customHeight="1">
      <x:c r="A8" s="82" t="n">
        <x:f>IF(U8&lt;&gt;"Rankeado","",COUNTIFS($U$5:$U$61,"Rankeado",$I$5:$I$61,"&gt;"&amp;I8)+COUNTIFS($U$5:U8,"Rankeado",$I$5:I8,I8))</x:f>
        <x:v>4</x:v>
      </x:c>
      <x:c r="B8" s="82" t="n">
        <x:f>COUNTIF($I$5:$I$61,"&gt;"&amp;I8)+COUNTIF($I$5:I8,I8)</x:f>
        <x:v>4</x:v>
      </x:c>
      <x:c r="C8" s="82" t="str">
        <x:f>IF(I8&gt;=80,"S+",IF(I8&gt;=72,"S",IF(I8&gt;=65,"A",IF(I8&gt;=58,"B",IF(I8&gt;=50,"C",IF(I8&gt;=42,"D","E"))))))</x:f>
        <x:v>A</x:v>
      </x:c>
      <x:c r="D8" s="82" t="str">
        <x:f>IF(AND(U8="Rankeado",A8&lt;=6),"Sim","Não")</x:f>
        <x:v>Sim</x:v>
      </x:c>
      <x:c r="E8" s="82" t="n">
        <x:v>141</x:v>
      </x:c>
      <x:c r="F8" s="80" t="str">
        <x:v>Kabutops</x:v>
      </x:c>
      <x:c r="G8" s="82" t="str">
        <x:v>Pedra / Água</x:v>
      </x:c>
      <x:c r="H8" s="82" t="str">
        <x:v>Físico</x:v>
      </x:c>
      <x:c r="I8" s="142" t="n">
        <x:f>ROUND(100*(Metodologia!$B$17*(Q8/Metodologia!$B$22)+Metodologia!$B$18*(R8/Metodologia!$B$23)+Metodologia!$B$19*(S8/Metodologia!$B$24)+Metodologia!$B$20*(P8/Metodologia!$B$25)+Metodologia!$B$21*(J8/Metodologia!$B$26)),2)</x:f>
        <x:v>67.68</x:v>
      </x:c>
      <x:c r="J8" s="82" t="n">
        <x:f>SUM(K8:P8)</x:f>
        <x:v>495</x:v>
      </x:c>
      <x:c r="K8" s="82" t="n">
        <x:v>60</x:v>
      </x:c>
      <x:c r="L8" s="82" t="n">
        <x:v>115</x:v>
      </x:c>
      <x:c r="M8" s="82" t="n">
        <x:v>105</x:v>
      </x:c>
      <x:c r="N8" s="82" t="n">
        <x:v>65</x:v>
      </x:c>
      <x:c r="O8" s="82" t="n">
        <x:v>70</x:v>
      </x:c>
      <x:c r="P8" s="82" t="n">
        <x:v>80</x:v>
      </x:c>
      <x:c r="Q8" s="143" t="n">
        <x:f>MAX(L8,N8)*Metodologia!$B$16</x:f>
        <x:v>149.5</x:v>
      </x:c>
      <x:c r="R8" s="143" t="n">
        <x:f>MIN(L8,N8)*Metodologia!$B$16</x:f>
        <x:v>84.5</x:v>
      </x:c>
      <x:c r="S8" s="143" t="n">
        <x:f>SQRT(K8*AVERAGE(M8,O8)*Metodologia!$B$16)</x:f>
        <x:v>82.61355820929153</x:v>
      </x:c>
      <x:c r="T8" s="82" t="str">
        <x:v>Sim</x:v>
      </x:c>
      <x:c r="U8" s="82" t="str">
        <x:v>Rankeado</x:v>
      </x:c>
      <x:c r="V8" s="82" t="str">
        <x:v>Perfil físico; melhor atributo ofensivo 115, ofensiva secundária 65, robustez relativa 53% e Speed 80. O índice privilegia dano de hunt, sem ignorar sobrevivência.</x:v>
      </x:c>
      <x:c r="W8" s="82" t="str">
        <x:v>Fica atrás de Vaporeon principalmente por robustez sustentada 27.8% menor e total de stats 5.7% menor.</x:v>
      </x:c>
      <x:c r="X8" s="82" t="str">
        <x:v>Fica à frente de Feraligatr porque possui teto ofensivo 9.5% maior e velocidade 2.6% maior.</x:v>
      </x:c>
      <x:c r="Y8" s="154" t="str">
        <x:v>https://poke.idleworld.online/pokepedia/pokemon/kabutops</x:v>
      </x:c>
    </x:row>
    <x:row r="9" ht="48" customHeight="1">
      <x:c r="A9" s="82" t="n">
        <x:f>IF(U9&lt;&gt;"Rankeado","",COUNTIFS($U$5:$U$61,"Rankeado",$I$5:$I$61,"&gt;"&amp;I9)+COUNTIFS($U$5:U9,"Rankeado",$I$5:I9,I9))</x:f>
        <x:v>5</x:v>
      </x:c>
      <x:c r="B9" s="82" t="n">
        <x:f>COUNTIF($I$5:$I$61,"&gt;"&amp;I9)+COUNTIF($I$5:I9,I9)</x:f>
        <x:v>5</x:v>
      </x:c>
      <x:c r="C9" s="82" t="str">
        <x:f>IF(I9&gt;=80,"S+",IF(I9&gt;=72,"S",IF(I9&gt;=65,"A",IF(I9&gt;=58,"B",IF(I9&gt;=50,"C",IF(I9&gt;=42,"D","E"))))))</x:f>
        <x:v>A</x:v>
      </x:c>
      <x:c r="D9" s="82" t="str">
        <x:f>IF(AND(U9="Rankeado",A9&lt;=6),"Sim","Não")</x:f>
        <x:v>Sim</x:v>
      </x:c>
      <x:c r="E9" s="82" t="n">
        <x:v>160</x:v>
      </x:c>
      <x:c r="F9" s="80" t="str">
        <x:v>Feraligatr</x:v>
      </x:c>
      <x:c r="G9" s="82" t="str">
        <x:v>Água</x:v>
      </x:c>
      <x:c r="H9" s="82" t="str">
        <x:v>Físico</x:v>
      </x:c>
      <x:c r="I9" s="142" t="n">
        <x:f>ROUND(100*(Metodologia!$B$17*(Q9/Metodologia!$B$22)+Metodologia!$B$18*(R9/Metodologia!$B$23)+Metodologia!$B$19*(S9/Metodologia!$B$24)+Metodologia!$B$20*(P9/Metodologia!$B$25)+Metodologia!$B$21*(J9/Metodologia!$B$26)),2)</x:f>
        <x:v>66.92</x:v>
      </x:c>
      <x:c r="J9" s="82" t="n">
        <x:f>SUM(K9:P9)</x:f>
        <x:v>530</x:v>
      </x:c>
      <x:c r="K9" s="82" t="n">
        <x:v>85</x:v>
      </x:c>
      <x:c r="L9" s="82" t="n">
        <x:v>105</x:v>
      </x:c>
      <x:c r="M9" s="82" t="n">
        <x:v>100</x:v>
      </x:c>
      <x:c r="N9" s="82" t="n">
        <x:v>79</x:v>
      </x:c>
      <x:c r="O9" s="82" t="n">
        <x:v>83</x:v>
      </x:c>
      <x:c r="P9" s="82" t="n">
        <x:v>78</x:v>
      </x:c>
      <x:c r="Q9" s="143" t="n">
        <x:f>MAX(L9,N9)*Metodologia!$B$16</x:f>
        <x:v>136.5</x:v>
      </x:c>
      <x:c r="R9" s="143" t="n">
        <x:f>MIN(L9,N9)*Metodologia!$B$16</x:f>
        <x:v>102.7</x:v>
      </x:c>
      <x:c r="S9" s="143" t="n">
        <x:f>SQRT(K9*AVERAGE(M9,O9)*Metodologia!$B$16)</x:f>
        <x:v>100.55222523644119</x:v>
      </x:c>
      <x:c r="T9" s="82" t="str">
        <x:v>Sim</x:v>
      </x:c>
      <x:c r="U9" s="82" t="str">
        <x:v>Rankeado</x:v>
      </x:c>
      <x:c r="V9" s="82" t="str">
        <x:v>Perfil físico; melhor atributo ofensivo 105, ofensiva secundária 79, robustez relativa 65% e Speed 78. O índice privilegia dano de hunt, sem ignorar sobrevivência.</x:v>
      </x:c>
      <x:c r="W9" s="82" t="str">
        <x:v>Fica atrás de Kabutops principalmente por teto ofensivo 8.7% menor e velocidade 2.5% menor.</x:v>
      </x:c>
      <x:c r="X9" s="82" t="str">
        <x:v>Fica à frente de Omastar porque possui ofensiva secundária 31.7% maior e velocidade 41.8% maior.</x:v>
      </x:c>
      <x:c r="Y9" s="154" t="str">
        <x:v>https://poke.idleworld.online/pokepedia/pokemon/feraligatr</x:v>
      </x:c>
    </x:row>
    <x:row r="10" ht="48" customHeight="1">
      <x:c r="A10" s="82" t="n">
        <x:f>IF(U10&lt;&gt;"Rankeado","",COUNTIFS($U$5:$U$61,"Rankeado",$I$5:$I$61,"&gt;"&amp;I10)+COUNTIFS($U$5:U10,"Rankeado",$I$5:I10,I10))</x:f>
        <x:v>6</x:v>
      </x:c>
      <x:c r="B10" s="82" t="n">
        <x:f>COUNTIF($I$5:$I$61,"&gt;"&amp;I10)+COUNTIF($I$5:I10,I10)</x:f>
        <x:v>6</x:v>
      </x:c>
      <x:c r="C10" s="82" t="str">
        <x:f>IF(I10&gt;=80,"S+",IF(I10&gt;=72,"S",IF(I10&gt;=65,"A",IF(I10&gt;=58,"B",IF(I10&gt;=50,"C",IF(I10&gt;=42,"D","E"))))))</x:f>
        <x:v>A</x:v>
      </x:c>
      <x:c r="D10" s="82" t="str">
        <x:f>IF(AND(U10="Rankeado",A10&lt;=6),"Sim","Não")</x:f>
        <x:v>Sim</x:v>
      </x:c>
      <x:c r="E10" s="82" t="n">
        <x:v>139</x:v>
      </x:c>
      <x:c r="F10" s="80" t="str">
        <x:v>Omastar</x:v>
      </x:c>
      <x:c r="G10" s="82" t="str">
        <x:v>Pedra / Água</x:v>
      </x:c>
      <x:c r="H10" s="82" t="str">
        <x:v>Especial</x:v>
      </x:c>
      <x:c r="I10" s="142" t="n">
        <x:f>ROUND(100*(Metodologia!$B$17*(Q10/Metodologia!$B$22)+Metodologia!$B$18*(R10/Metodologia!$B$23)+Metodologia!$B$19*(S10/Metodologia!$B$24)+Metodologia!$B$20*(P10/Metodologia!$B$25)+Metodologia!$B$21*(J10/Metodologia!$B$26)),2)</x:f>
        <x:v>66.68</x:v>
      </x:c>
      <x:c r="J10" s="82" t="n">
        <x:f>SUM(K10:P10)</x:f>
        <x:v>495</x:v>
      </x:c>
      <x:c r="K10" s="82" t="n">
        <x:v>70</x:v>
      </x:c>
      <x:c r="L10" s="82" t="n">
        <x:v>60</x:v>
      </x:c>
      <x:c r="M10" s="82" t="n">
        <x:v>125</x:v>
      </x:c>
      <x:c r="N10" s="82" t="n">
        <x:v>115</x:v>
      </x:c>
      <x:c r="O10" s="82" t="n">
        <x:v>70</x:v>
      </x:c>
      <x:c r="P10" s="82" t="n">
        <x:v>55</x:v>
      </x:c>
      <x:c r="Q10" s="143" t="n">
        <x:f>MAX(L10,N10)*Metodologia!$B$16</x:f>
        <x:v>149.5</x:v>
      </x:c>
      <x:c r="R10" s="143" t="n">
        <x:f>MIN(L10,N10)*Metodologia!$B$16</x:f>
        <x:v>78</x:v>
      </x:c>
      <x:c r="S10" s="143" t="n">
        <x:f>SQRT(K10*AVERAGE(M10,O10)*Metodologia!$B$16)</x:f>
        <x:v>94.19394885023135</x:v>
      </x:c>
      <x:c r="T10" s="82" t="str">
        <x:v>Sim</x:v>
      </x:c>
      <x:c r="U10" s="82" t="str">
        <x:v>Rankeado</x:v>
      </x:c>
      <x:c r="V10" s="82" t="str">
        <x:v>Perfil especial; melhor atributo ofensivo 115, ofensiva secundária 60, robustez relativa 61% e Speed 55. O índice privilegia dano de hunt, sem ignorar sobrevivência.</x:v>
      </x:c>
      <x:c r="W10" s="82" t="str">
        <x:v>Fica atrás de Feraligatr principalmente por ofensiva secundária 24.1% menor e velocidade 29.5% menor.</x:v>
      </x:c>
      <x:c r="X10" s="82" t="str">
        <x:v>Fica à frente de Jynx porque possui robustez sustentada 27.1% maior e ofensiva secundária 20.0% maior.</x:v>
      </x:c>
      <x:c r="Y10" s="154" t="str">
        <x:v>https://poke.idleworld.online/pokepedia/pokemon/omastar</x:v>
      </x:c>
    </x:row>
    <x:row r="11" ht="48" customHeight="1">
      <x:c r="A11" s="82" t="n">
        <x:f>IF(U11&lt;&gt;"Rankeado","",COUNTIFS($U$5:$U$61,"Rankeado",$I$5:$I$61,"&gt;"&amp;I11)+COUNTIFS($U$5:U11,"Rankeado",$I$5:I11,I11))</x:f>
        <x:v>7</x:v>
      </x:c>
      <x:c r="B11" s="82" t="n">
        <x:f>COUNTIF($I$5:$I$61,"&gt;"&amp;I11)+COUNTIF($I$5:I11,I11)</x:f>
        <x:v>7</x:v>
      </x:c>
      <x:c r="C11" s="82" t="str">
        <x:f>IF(I11&gt;=80,"S+",IF(I11&gt;=72,"S",IF(I11&gt;=65,"A",IF(I11&gt;=58,"B",IF(I11&gt;=50,"C",IF(I11&gt;=42,"D","E"))))))</x:f>
        <x:v>A</x:v>
      </x:c>
      <x:c r="D11" s="82" t="str">
        <x:f>IF(AND(U11="Rankeado",A11&lt;=6),"Sim","Não")</x:f>
        <x:v>Não</x:v>
      </x:c>
      <x:c r="E11" s="82" t="n">
        <x:v>124</x:v>
      </x:c>
      <x:c r="F11" s="80" t="str">
        <x:v>Jynx</x:v>
      </x:c>
      <x:c r="G11" s="82" t="str">
        <x:v>Gelo / Psíquico</x:v>
      </x:c>
      <x:c r="H11" s="82" t="str">
        <x:v>Especial</x:v>
      </x:c>
      <x:c r="I11" s="142" t="n">
        <x:f>ROUND(100*(Metodologia!$B$17*(Q11/Metodologia!$B$22)+Metodologia!$B$18*(R11/Metodologia!$B$23)+Metodologia!$B$19*(S11/Metodologia!$B$24)+Metodologia!$B$20*(P11/Metodologia!$B$25)+Metodologia!$B$21*(J11/Metodologia!$B$26)),2)</x:f>
        <x:v>66.2</x:v>
      </x:c>
      <x:c r="J11" s="82" t="n">
        <x:f>SUM(K11:P11)</x:f>
        <x:v>455</x:v>
      </x:c>
      <x:c r="K11" s="82" t="n">
        <x:v>65</x:v>
      </x:c>
      <x:c r="L11" s="82" t="n">
        <x:v>50</x:v>
      </x:c>
      <x:c r="M11" s="82" t="n">
        <x:v>35</x:v>
      </x:c>
      <x:c r="N11" s="82" t="n">
        <x:v>115</x:v>
      </x:c>
      <x:c r="O11" s="82" t="n">
        <x:v>95</x:v>
      </x:c>
      <x:c r="P11" s="82" t="n">
        <x:v>95</x:v>
      </x:c>
      <x:c r="Q11" s="143" t="n">
        <x:f>MAX(L11,N11)*Metodologia!$B$16</x:f>
        <x:v>149.5</x:v>
      </x:c>
      <x:c r="R11" s="143" t="n">
        <x:f>MIN(L11,N11)*Metodologia!$B$16</x:f>
        <x:v>65</x:v>
      </x:c>
      <x:c r="S11" s="143" t="n">
        <x:f>SQRT(K11*AVERAGE(M11,O11)*Metodologia!$B$16)</x:f>
        <x:v>74.11140263144397</x:v>
      </x:c>
      <x:c r="T11" s="82" t="str">
        <x:v>Sim</x:v>
      </x:c>
      <x:c r="U11" s="82" t="str">
        <x:v>Rankeado</x:v>
      </x:c>
      <x:c r="V11" s="82" t="str">
        <x:v>Perfil especial; melhor atributo ofensivo 115, ofensiva secundária 50, robustez relativa 48% e Speed 95. O índice privilegia dano de hunt, sem ignorar sobrevivência.</x:v>
      </x:c>
      <x:c r="W11" s="82" t="str">
        <x:v>Fica atrás de Omastar principalmente por robustez sustentada 21.3% menor e ofensiva secundária 16.7% menor.</x:v>
      </x:c>
      <x:c r="X11" s="82" t="str">
        <x:v>Fica à frente de Octillery porque possui teto ofensivo 9.5% maior e velocidade 111.1% maior.</x:v>
      </x:c>
      <x:c r="Y11" s="154" t="str">
        <x:v>https://poke.idleworld.online/pokepedia/pokemon/jynx</x:v>
      </x:c>
    </x:row>
    <x:row r="12" ht="48" customHeight="1">
      <x:c r="A12" s="82" t="n">
        <x:f>IF(U12&lt;&gt;"Rankeado","",COUNTIFS($U$5:$U$61,"Rankeado",$I$5:$I$61,"&gt;"&amp;I12)+COUNTIFS($U$5:U12,"Rankeado",$I$5:I12,I12))</x:f>
        <x:v>8</x:v>
      </x:c>
      <x:c r="B12" s="82" t="n">
        <x:f>COUNTIF($I$5:$I$61,"&gt;"&amp;I12)+COUNTIF($I$5:I12,I12)</x:f>
        <x:v>9</x:v>
      </x:c>
      <x:c r="C12" s="82" t="str">
        <x:f>IF(I12&gt;=80,"S+",IF(I12&gt;=72,"S",IF(I12&gt;=65,"A",IF(I12&gt;=58,"B",IF(I12&gt;=50,"C",IF(I12&gt;=42,"D","E"))))))</x:f>
        <x:v>A</x:v>
      </x:c>
      <x:c r="D12" s="82" t="str">
        <x:f>IF(AND(U12="Rankeado",A12&lt;=6),"Sim","Não")</x:f>
        <x:v>Não</x:v>
      </x:c>
      <x:c r="E12" s="82" t="n">
        <x:v>224</x:v>
      </x:c>
      <x:c r="F12" s="80" t="str">
        <x:v>Octillery</x:v>
      </x:c>
      <x:c r="G12" s="82" t="str">
        <x:v>Água</x:v>
      </x:c>
      <x:c r="H12" s="82" t="str">
        <x:v>Misto</x:v>
      </x:c>
      <x:c r="I12" s="142" t="n">
        <x:f>ROUND(100*(Metodologia!$B$17*(Q12/Metodologia!$B$22)+Metodologia!$B$18*(R12/Metodologia!$B$23)+Metodologia!$B$19*(S12/Metodologia!$B$24)+Metodologia!$B$20*(P12/Metodologia!$B$25)+Metodologia!$B$21*(J12/Metodologia!$B$26)),2)</x:f>
        <x:v>65.26</x:v>
      </x:c>
      <x:c r="J12" s="82" t="n">
        <x:f>SUM(K12:P12)</x:f>
        <x:v>480</x:v>
      </x:c>
      <x:c r="K12" s="82" t="n">
        <x:v>75</x:v>
      </x:c>
      <x:c r="L12" s="82" t="n">
        <x:v>105</x:v>
      </x:c>
      <x:c r="M12" s="82" t="n">
        <x:v>75</x:v>
      </x:c>
      <x:c r="N12" s="82" t="n">
        <x:v>105</x:v>
      </x:c>
      <x:c r="O12" s="82" t="n">
        <x:v>75</x:v>
      </x:c>
      <x:c r="P12" s="82" t="n">
        <x:v>45</x:v>
      </x:c>
      <x:c r="Q12" s="143" t="n">
        <x:f>MAX(L12,N12)*Metodologia!$B$16</x:f>
        <x:v>136.5</x:v>
      </x:c>
      <x:c r="R12" s="143" t="n">
        <x:f>MIN(L12,N12)*Metodologia!$B$16</x:f>
        <x:v>136.5</x:v>
      </x:c>
      <x:c r="S12" s="143" t="n">
        <x:f>SQRT(K12*AVERAGE(M12,O12)*Metodologia!$B$16)</x:f>
        <x:v>85.51315688243535</x:v>
      </x:c>
      <x:c r="T12" s="82" t="str">
        <x:v>Não</x:v>
      </x:c>
      <x:c r="U12" s="82" t="str">
        <x:v>Rankeado</x:v>
      </x:c>
      <x:c r="V12" s="82" t="str">
        <x:v>Perfil misto; melhor atributo ofensivo 105, ofensiva secundária 105, robustez relativa 55% e Speed 45. O índice privilegia dano de hunt, sem ignorar sobrevivência.</x:v>
      </x:c>
      <x:c r="W12" s="82" t="str">
        <x:v>Fica atrás de Jynx principalmente por teto ofensivo 8.7% menor e velocidade 52.6% menor.</x:v>
      </x:c>
      <x:c r="X12" s="82" t="str">
        <x:v>Fica à frente de Starmie porque possui ofensiva secundária 40.0% maior e teto ofensivo 5.0% maior.</x:v>
      </x:c>
      <x:c r="Y12" s="154" t="str">
        <x:v>https://poke.idleworld.online/pokepedia/pokemon/octillery</x:v>
      </x:c>
    </x:row>
    <x:row r="13" ht="48" customHeight="1">
      <x:c r="A13" s="82" t="n">
        <x:f>IF(U13&lt;&gt;"Rankeado","",COUNTIFS($U$5:$U$61,"Rankeado",$I$5:$I$61,"&gt;"&amp;I13)+COUNTIFS($U$5:U13,"Rankeado",$I$5:I13,I13))</x:f>
        <x:v>9</x:v>
      </x:c>
      <x:c r="B13" s="82" t="n">
        <x:f>COUNTIF($I$5:$I$61,"&gt;"&amp;I13)+COUNTIF($I$5:I13,I13)</x:f>
        <x:v>10</x:v>
      </x:c>
      <x:c r="C13" s="82" t="str">
        <x:f>IF(I13&gt;=80,"S+",IF(I13&gt;=72,"S",IF(I13&gt;=65,"A",IF(I13&gt;=58,"B",IF(I13&gt;=50,"C",IF(I13&gt;=42,"D","E"))))))</x:f>
        <x:v>A</x:v>
      </x:c>
      <x:c r="D13" s="82" t="str">
        <x:f>IF(AND(U13="Rankeado",A13&lt;=6),"Sim","Não")</x:f>
        <x:v>Não</x:v>
      </x:c>
      <x:c r="E13" s="82" t="n">
        <x:v>121</x:v>
      </x:c>
      <x:c r="F13" s="80" t="str">
        <x:v>Starmie</x:v>
      </x:c>
      <x:c r="G13" s="82" t="str">
        <x:v>Água / Psíquico</x:v>
      </x:c>
      <x:c r="H13" s="82" t="str">
        <x:v>Especial</x:v>
      </x:c>
      <x:c r="I13" s="142" t="n">
        <x:f>ROUND(100*(Metodologia!$B$17*(Q13/Metodologia!$B$22)+Metodologia!$B$18*(R13/Metodologia!$B$23)+Metodologia!$B$19*(S13/Metodologia!$B$24)+Metodologia!$B$20*(P13/Metodologia!$B$25)+Metodologia!$B$21*(J13/Metodologia!$B$26)),2)</x:f>
        <x:v>65.15</x:v>
      </x:c>
      <x:c r="J13" s="82" t="n">
        <x:f>SUM(K13:P13)</x:f>
        <x:v>520</x:v>
      </x:c>
      <x:c r="K13" s="82" t="n">
        <x:v>60</x:v>
      </x:c>
      <x:c r="L13" s="82" t="n">
        <x:v>75</x:v>
      </x:c>
      <x:c r="M13" s="82" t="n">
        <x:v>85</x:v>
      </x:c>
      <x:c r="N13" s="82" t="n">
        <x:v>100</x:v>
      </x:c>
      <x:c r="O13" s="82" t="n">
        <x:v>85</x:v>
      </x:c>
      <x:c r="P13" s="82" t="n">
        <x:v>115</x:v>
      </x:c>
      <x:c r="Q13" s="143" t="n">
        <x:f>MAX(L13,N13)*Metodologia!$B$16</x:f>
        <x:v>130</x:v>
      </x:c>
      <x:c r="R13" s="143" t="n">
        <x:f>MIN(L13,N13)*Metodologia!$B$16</x:f>
        <x:v>97.5</x:v>
      </x:c>
      <x:c r="S13" s="143" t="n">
        <x:f>SQRT(K13*AVERAGE(M13,O13)*Metodologia!$B$16)</x:f>
        <x:v>81.42481194328913</x:v>
      </x:c>
      <x:c r="T13" s="82" t="str">
        <x:v>Sim</x:v>
      </x:c>
      <x:c r="U13" s="82" t="str">
        <x:v>Rankeado</x:v>
      </x:c>
      <x:c r="V13" s="82" t="str">
        <x:v>Perfil especial; melhor atributo ofensivo 100, ofensiva secundária 75, robustez relativa 53% e Speed 115. O índice privilegia dano de hunt, sem ignorar sobrevivência.</x:v>
      </x:c>
      <x:c r="W13" s="82" t="str">
        <x:v>Fica atrás de Octillery principalmente por ofensiva secundária 28.6% menor e teto ofensivo 4.8% menor.</x:v>
      </x:c>
      <x:c r="X13" s="82" t="str">
        <x:v>Fica à frente de Kingdra porque possui velocidade 35.3% maior e teto ofensivo 5.3% maior.</x:v>
      </x:c>
      <x:c r="Y13" s="154" t="str">
        <x:v>https://poke.idleworld.online/pokepedia/pokemon/starmie</x:v>
      </x:c>
    </x:row>
    <x:row r="14" ht="48" customHeight="1">
      <x:c r="A14" s="82" t="n">
        <x:f>IF(U14&lt;&gt;"Rankeado","",COUNTIFS($U$5:$U$61,"Rankeado",$I$5:$I$61,"&gt;"&amp;I14)+COUNTIFS($U$5:U14,"Rankeado",$I$5:I14,I14))</x:f>
        <x:v>10</x:v>
      </x:c>
      <x:c r="B14" s="82" t="n">
        <x:f>COUNTIF($I$5:$I$61,"&gt;"&amp;I14)+COUNTIF($I$5:I14,I14)</x:f>
        <x:v>11</x:v>
      </x:c>
      <x:c r="C14" s="82" t="str">
        <x:f>IF(I14&gt;=80,"S+",IF(I14&gt;=72,"S",IF(I14&gt;=65,"A",IF(I14&gt;=58,"B",IF(I14&gt;=50,"C",IF(I14&gt;=42,"D","E"))))))</x:f>
        <x:v>B</x:v>
      </x:c>
      <x:c r="D14" s="82" t="str">
        <x:f>IF(AND(U14="Rankeado",A14&lt;=6),"Sim","Não")</x:f>
        <x:v>Não</x:v>
      </x:c>
      <x:c r="E14" s="82" t="n">
        <x:v>230</x:v>
      </x:c>
      <x:c r="F14" s="80" t="str">
        <x:v>Kingdra</x:v>
      </x:c>
      <x:c r="G14" s="82" t="str">
        <x:v>Água / Dragão</x:v>
      </x:c>
      <x:c r="H14" s="82" t="str">
        <x:v>Misto</x:v>
      </x:c>
      <x:c r="I14" s="142" t="n">
        <x:f>ROUND(100*(Metodologia!$B$17*(Q14/Metodologia!$B$22)+Metodologia!$B$18*(R14/Metodologia!$B$23)+Metodologia!$B$19*(S14/Metodologia!$B$24)+Metodologia!$B$20*(P14/Metodologia!$B$25)+Metodologia!$B$21*(J14/Metodologia!$B$26)),2)</x:f>
        <x:v>64.6</x:v>
      </x:c>
      <x:c r="J14" s="82" t="n">
        <x:f>SUM(K14:P14)</x:f>
        <x:v>540</x:v>
      </x:c>
      <x:c r="K14" s="82" t="n">
        <x:v>75</x:v>
      </x:c>
      <x:c r="L14" s="82" t="n">
        <x:v>95</x:v>
      </x:c>
      <x:c r="M14" s="82" t="n">
        <x:v>95</x:v>
      </x:c>
      <x:c r="N14" s="82" t="n">
        <x:v>95</x:v>
      </x:c>
      <x:c r="O14" s="82" t="n">
        <x:v>95</x:v>
      </x:c>
      <x:c r="P14" s="82" t="n">
        <x:v>85</x:v>
      </x:c>
      <x:c r="Q14" s="143" t="n">
        <x:f>MAX(L14,N14)*Metodologia!$B$16</x:f>
        <x:v>123.5</x:v>
      </x:c>
      <x:c r="R14" s="143" t="n">
        <x:f>MIN(L14,N14)*Metodologia!$B$16</x:f>
        <x:v>123.5</x:v>
      </x:c>
      <x:c r="S14" s="143" t="n">
        <x:f>SQRT(K14*AVERAGE(M14,O14)*Metodologia!$B$16)</x:f>
        <x:v>96.24188277460078</x:v>
      </x:c>
      <x:c r="T14" s="82" t="str">
        <x:v>Sim</x:v>
      </x:c>
      <x:c r="U14" s="82" t="str">
        <x:v>Rankeado</x:v>
      </x:c>
      <x:c r="V14" s="82" t="str">
        <x:v>Perfil misto; melhor atributo ofensivo 95, ofensiva secundária 95, robustez relativa 62% e Speed 85. O índice privilegia dano de hunt, sem ignorar sobrevivência.</x:v>
      </x:c>
      <x:c r="W14" s="82" t="str">
        <x:v>Fica atrás de Starmie principalmente por velocidade 26.1% menor e teto ofensivo 5.0% menor.</x:v>
      </x:c>
      <x:c r="X14" s="82" t="str">
        <x:v>Fica à frente de Golduck porque possui ofensiva secundária 15.9% maior e robustez sustentada 6.2% maior.</x:v>
      </x:c>
      <x:c r="Y14" s="154" t="str">
        <x:v>https://poke.idleworld.online/pokepedia/pokemon/kingdra</x:v>
      </x:c>
    </x:row>
    <x:row r="15" ht="48" customHeight="1">
      <x:c r="A15" s="82" t="n">
        <x:f>IF(U15&lt;&gt;"Rankeado","",COUNTIFS($U$5:$U$61,"Rankeado",$I$5:$I$61,"&gt;"&amp;I15)+COUNTIFS($U$5:U15,"Rankeado",$I$5:I15,I15))</x:f>
        <x:v>11</x:v>
      </x:c>
      <x:c r="B15" s="82" t="n">
        <x:f>COUNTIF($I$5:$I$61,"&gt;"&amp;I15)+COUNTIF($I$5:I15,I15)</x:f>
        <x:v>13</x:v>
      </x:c>
      <x:c r="C15" s="82" t="str">
        <x:f>IF(I15&gt;=80,"S+",IF(I15&gt;=72,"S",IF(I15&gt;=65,"A",IF(I15&gt;=58,"B",IF(I15&gt;=50,"C",IF(I15&gt;=42,"D","E"))))))</x:f>
        <x:v>B</x:v>
      </x:c>
      <x:c r="D15" s="82" t="str">
        <x:f>IF(AND(U15="Rankeado",A15&lt;=6),"Sim","Não")</x:f>
        <x:v>Não</x:v>
      </x:c>
      <x:c r="E15" s="82" t="n">
        <x:v>55</x:v>
      </x:c>
      <x:c r="F15" s="80" t="str">
        <x:v>Golduck</x:v>
      </x:c>
      <x:c r="G15" s="82" t="str">
        <x:v>Água</x:v>
      </x:c>
      <x:c r="H15" s="82" t="str">
        <x:v>Especial</x:v>
      </x:c>
      <x:c r="I15" s="142" t="n">
        <x:f>ROUND(100*(Metodologia!$B$17*(Q15/Metodologia!$B$22)+Metodologia!$B$18*(R15/Metodologia!$B$23)+Metodologia!$B$19*(S15/Metodologia!$B$24)+Metodologia!$B$20*(P15/Metodologia!$B$25)+Metodologia!$B$21*(J15/Metodologia!$B$26)),2)</x:f>
        <x:v>62.58</x:v>
      </x:c>
      <x:c r="J15" s="82" t="n">
        <x:f>SUM(K15:P15)</x:f>
        <x:v>500</x:v>
      </x:c>
      <x:c r="K15" s="82" t="n">
        <x:v>80</x:v>
      </x:c>
      <x:c r="L15" s="82" t="n">
        <x:v>82</x:v>
      </x:c>
      <x:c r="M15" s="82" t="n">
        <x:v>78</x:v>
      </x:c>
      <x:c r="N15" s="82" t="n">
        <x:v>95</x:v>
      </x:c>
      <x:c r="O15" s="82" t="n">
        <x:v>80</x:v>
      </x:c>
      <x:c r="P15" s="82" t="n">
        <x:v>85</x:v>
      </x:c>
      <x:c r="Q15" s="143" t="n">
        <x:f>MAX(L15,N15)*Metodologia!$B$16</x:f>
        <x:v>123.5</x:v>
      </x:c>
      <x:c r="R15" s="143" t="n">
        <x:f>MIN(L15,N15)*Metodologia!$B$16</x:f>
        <x:v>106.60000000000001</x:v>
      </x:c>
      <x:c r="S15" s="143" t="n">
        <x:f>SQRT(K15*AVERAGE(M15,O15)*Metodologia!$B$16)</x:f>
        <x:v>90.64215354899729</x:v>
      </x:c>
      <x:c r="T15" s="82" t="str">
        <x:v>Sim</x:v>
      </x:c>
      <x:c r="U15" s="82" t="str">
        <x:v>Rankeado</x:v>
      </x:c>
      <x:c r="V15" s="82" t="str">
        <x:v>Perfil especial; melhor atributo ofensivo 95, ofensiva secundária 82, robustez relativa 58% e Speed 85. O índice privilegia dano de hunt, sem ignorar sobrevivência.</x:v>
      </x:c>
      <x:c r="W15" s="82" t="str">
        <x:v>Fica atrás de Kingdra principalmente por ofensiva secundária 13.7% menor e robustez sustentada 5.8% menor.</x:v>
      </x:c>
      <x:c r="X15" s="82" t="str">
        <x:v>Fica à frente de Slowbro porque possui velocidade 183.3% maior e ofensiva secundária 9.3% maior.</x:v>
      </x:c>
      <x:c r="Y15" s="154" t="str">
        <x:v>https://poke.idleworld.online/pokepedia/pokemon/golduck</x:v>
      </x:c>
    </x:row>
    <x:row r="16" ht="48" customHeight="1">
      <x:c r="A16" s="82" t="n">
        <x:f>IF(U16&lt;&gt;"Rankeado","",COUNTIFS($U$5:$U$61,"Rankeado",$I$5:$I$61,"&gt;"&amp;I16)+COUNTIFS($U$5:U16,"Rankeado",$I$5:I16,I16))</x:f>
        <x:v>12</x:v>
      </x:c>
      <x:c r="B16" s="82" t="n">
        <x:f>COUNTIF($I$5:$I$61,"&gt;"&amp;I16)+COUNTIF($I$5:I16,I16)</x:f>
        <x:v>14</x:v>
      </x:c>
      <x:c r="C16" s="82" t="str">
        <x:f>IF(I16&gt;=80,"S+",IF(I16&gt;=72,"S",IF(I16&gt;=65,"A",IF(I16&gt;=58,"B",IF(I16&gt;=50,"C",IF(I16&gt;=42,"D","E"))))))</x:f>
        <x:v>B</x:v>
      </x:c>
      <x:c r="D16" s="82" t="str">
        <x:f>IF(AND(U16="Rankeado",A16&lt;=6),"Sim","Não")</x:f>
        <x:v>Não</x:v>
      </x:c>
      <x:c r="E16" s="82" t="n">
        <x:v>80</x:v>
      </x:c>
      <x:c r="F16" s="80" t="str">
        <x:v>Slowbro</x:v>
      </x:c>
      <x:c r="G16" s="82" t="str">
        <x:v>Água / Psíquico</x:v>
      </x:c>
      <x:c r="H16" s="82" t="str">
        <x:v>Especial</x:v>
      </x:c>
      <x:c r="I16" s="142" t="n">
        <x:f>ROUND(100*(Metodologia!$B$17*(Q16/Metodologia!$B$22)+Metodologia!$B$18*(R16/Metodologia!$B$23)+Metodologia!$B$19*(S16/Metodologia!$B$24)+Metodologia!$B$20*(P16/Metodologia!$B$25)+Metodologia!$B$21*(J16/Metodologia!$B$26)),2)</x:f>
        <x:v>61.86</x:v>
      </x:c>
      <x:c r="J16" s="82" t="n">
        <x:f>SUM(K16:P16)</x:f>
        <x:v>490</x:v>
      </x:c>
      <x:c r="K16" s="82" t="n">
        <x:v>95</x:v>
      </x:c>
      <x:c r="L16" s="82" t="n">
        <x:v>75</x:v>
      </x:c>
      <x:c r="M16" s="82" t="n">
        <x:v>110</x:v>
      </x:c>
      <x:c r="N16" s="82" t="n">
        <x:v>100</x:v>
      </x:c>
      <x:c r="O16" s="82" t="n">
        <x:v>80</x:v>
      </x:c>
      <x:c r="P16" s="82" t="n">
        <x:v>30</x:v>
      </x:c>
      <x:c r="Q16" s="143" t="n">
        <x:f>MAX(L16,N16)*Metodologia!$B$16</x:f>
        <x:v>130</x:v>
      </x:c>
      <x:c r="R16" s="143" t="n">
        <x:f>MIN(L16,N16)*Metodologia!$B$16</x:f>
        <x:v>97.5</x:v>
      </x:c>
      <x:c r="S16" s="143" t="n">
        <x:f>SQRT(K16*AVERAGE(M16,O16)*Metodologia!$B$16)</x:f>
        <x:v>108.3166653844181</x:v>
      </x:c>
      <x:c r="T16" s="82" t="str">
        <x:v>Sim</x:v>
      </x:c>
      <x:c r="U16" s="82" t="str">
        <x:v>Rankeado</x:v>
      </x:c>
      <x:c r="V16" s="82" t="str">
        <x:v>Perfil especial; melhor atributo ofensivo 100, ofensiva secundária 75, robustez relativa 70% e Speed 30. O índice privilegia dano de hunt, sem ignorar sobrevivência.</x:v>
      </x:c>
      <x:c r="W16" s="82" t="str">
        <x:v>Fica atrás de Golduck principalmente por velocidade 64.7% menor e ofensiva secundária 8.5% menor.</x:v>
      </x:c>
      <x:c r="X16" s="82" t="str">
        <x:v>Fica à frente de Slowking apenas pelo desempate técnico do modelo.</x:v>
      </x:c>
      <x:c r="Y16" s="154" t="str">
        <x:v>https://poke.idleworld.online/pokepedia/pokemon/slowbro</x:v>
      </x:c>
    </x:row>
    <x:row r="17" ht="48" customHeight="1">
      <x:c r="A17" s="82" t="n">
        <x:f>IF(U17&lt;&gt;"Rankeado","",COUNTIFS($U$5:$U$61,"Rankeado",$I$5:$I$61,"&gt;"&amp;I17)+COUNTIFS($U$5:U17,"Rankeado",$I$5:I17,I17))</x:f>
        <x:v>13</x:v>
      </x:c>
      <x:c r="B17" s="82" t="n">
        <x:f>COUNTIF($I$5:$I$61,"&gt;"&amp;I17)+COUNTIF($I$5:I17,I17)</x:f>
        <x:v>15</x:v>
      </x:c>
      <x:c r="C17" s="82" t="str">
        <x:f>IF(I17&gt;=80,"S+",IF(I17&gt;=72,"S",IF(I17&gt;=65,"A",IF(I17&gt;=58,"B",IF(I17&gt;=50,"C",IF(I17&gt;=42,"D","E"))))))</x:f>
        <x:v>B</x:v>
      </x:c>
      <x:c r="D17" s="82" t="str">
        <x:f>IF(AND(U17="Rankeado",A17&lt;=6),"Sim","Não")</x:f>
        <x:v>Não</x:v>
      </x:c>
      <x:c r="E17" s="82" t="n">
        <x:v>199</x:v>
      </x:c>
      <x:c r="F17" s="80" t="str">
        <x:v>Slowking</x:v>
      </x:c>
      <x:c r="G17" s="82" t="str">
        <x:v>Água / Psíquico</x:v>
      </x:c>
      <x:c r="H17" s="82" t="str">
        <x:v>Especial</x:v>
      </x:c>
      <x:c r="I17" s="142" t="n">
        <x:f>ROUND(100*(Metodologia!$B$17*(Q17/Metodologia!$B$22)+Metodologia!$B$18*(R17/Metodologia!$B$23)+Metodologia!$B$19*(S17/Metodologia!$B$24)+Metodologia!$B$20*(P17/Metodologia!$B$25)+Metodologia!$B$21*(J17/Metodologia!$B$26)),2)</x:f>
        <x:v>61.86</x:v>
      </x:c>
      <x:c r="J17" s="82" t="n">
        <x:f>SUM(K17:P17)</x:f>
        <x:v>490</x:v>
      </x:c>
      <x:c r="K17" s="82" t="n">
        <x:v>95</x:v>
      </x:c>
      <x:c r="L17" s="82" t="n">
        <x:v>75</x:v>
      </x:c>
      <x:c r="M17" s="82" t="n">
        <x:v>80</x:v>
      </x:c>
      <x:c r="N17" s="82" t="n">
        <x:v>100</x:v>
      </x:c>
      <x:c r="O17" s="82" t="n">
        <x:v>110</x:v>
      </x:c>
      <x:c r="P17" s="82" t="n">
        <x:v>30</x:v>
      </x:c>
      <x:c r="Q17" s="143" t="n">
        <x:f>MAX(L17,N17)*Metodologia!$B$16</x:f>
        <x:v>130</x:v>
      </x:c>
      <x:c r="R17" s="143" t="n">
        <x:f>MIN(L17,N17)*Metodologia!$B$16</x:f>
        <x:v>97.5</x:v>
      </x:c>
      <x:c r="S17" s="143" t="n">
        <x:f>SQRT(K17*AVERAGE(M17,O17)*Metodologia!$B$16)</x:f>
        <x:v>108.3166653844181</x:v>
      </x:c>
      <x:c r="T17" s="82" t="str">
        <x:v>Não</x:v>
      </x:c>
      <x:c r="U17" s="82" t="str">
        <x:v>Rankeado</x:v>
      </x:c>
      <x:c r="V17" s="82" t="str">
        <x:v>Perfil especial; melhor atributo ofensivo 100, ofensiva secundária 75, robustez relativa 70% e Speed 30. O índice privilegia dano de hunt, sem ignorar sobrevivência.</x:v>
      </x:c>
      <x:c r="W17" s="82" t="str">
        <x:v>Fica atrás de Slowbro apenas pelo desempate técnico do modelo.</x:v>
      </x:c>
      <x:c r="X17" s="82" t="str">
        <x:v>Fica à frente de Poliwrath porque possui teto ofensivo 5.3% maior e ofensiva secundária 7.1% maior.</x:v>
      </x:c>
      <x:c r="Y17" s="154" t="str">
        <x:v>https://poke.idleworld.online/pokepedia/pokemon/slowking</x:v>
      </x:c>
    </x:row>
    <x:row r="18" ht="48" customHeight="1">
      <x:c r="A18" s="82" t="n">
        <x:f>IF(U18&lt;&gt;"Rankeado","",COUNTIFS($U$5:$U$61,"Rankeado",$I$5:$I$61,"&gt;"&amp;I18)+COUNTIFS($U$5:U18,"Rankeado",$I$5:I18,I18))</x:f>
        <x:v>14</x:v>
      </x:c>
      <x:c r="B18" s="82" t="n">
        <x:f>COUNTIF($I$5:$I$61,"&gt;"&amp;I18)+COUNTIF($I$5:I18,I18)</x:f>
        <x:v>16</x:v>
      </x:c>
      <x:c r="C18" s="82" t="str">
        <x:f>IF(I18&gt;=80,"S+",IF(I18&gt;=72,"S",IF(I18&gt;=65,"A",IF(I18&gt;=58,"B",IF(I18&gt;=50,"C",IF(I18&gt;=42,"D","E"))))))</x:f>
        <x:v>B</x:v>
      </x:c>
      <x:c r="D18" s="82" t="str">
        <x:f>IF(AND(U18="Rankeado",A18&lt;=6),"Sim","Não")</x:f>
        <x:v>Não</x:v>
      </x:c>
      <x:c r="E18" s="82" t="n">
        <x:v>62</x:v>
      </x:c>
      <x:c r="F18" s="80" t="str">
        <x:v>Poliwrath</x:v>
      </x:c>
      <x:c r="G18" s="82" t="str">
        <x:v>Água / Lutador</x:v>
      </x:c>
      <x:c r="H18" s="82" t="str">
        <x:v>Físico</x:v>
      </x:c>
      <x:c r="I18" s="142" t="n">
        <x:f>ROUND(100*(Metodologia!$B$17*(Q18/Metodologia!$B$22)+Metodologia!$B$18*(R18/Metodologia!$B$23)+Metodologia!$B$19*(S18/Metodologia!$B$24)+Metodologia!$B$20*(P18/Metodologia!$B$25)+Metodologia!$B$21*(J18/Metodologia!$B$26)),2)</x:f>
        <x:v>61.86</x:v>
      </x:c>
      <x:c r="J18" s="82" t="n">
        <x:f>SUM(K18:P18)</x:f>
        <x:v>510</x:v>
      </x:c>
      <x:c r="K18" s="82" t="n">
        <x:v>90</x:v>
      </x:c>
      <x:c r="L18" s="82" t="n">
        <x:v>95</x:v>
      </x:c>
      <x:c r="M18" s="82" t="n">
        <x:v>95</x:v>
      </x:c>
      <x:c r="N18" s="82" t="n">
        <x:v>70</x:v>
      </x:c>
      <x:c r="O18" s="82" t="n">
        <x:v>90</x:v>
      </x:c>
      <x:c r="P18" s="82" t="n">
        <x:v>70</x:v>
      </x:c>
      <x:c r="Q18" s="143" t="n">
        <x:f>MAX(L18,N18)*Metodologia!$B$16</x:f>
        <x:v>123.5</x:v>
      </x:c>
      <x:c r="R18" s="143" t="n">
        <x:f>MIN(L18,N18)*Metodologia!$B$16</x:f>
        <x:v>91</x:v>
      </x:c>
      <x:c r="S18" s="143" t="n">
        <x:f>SQRT(K18*AVERAGE(M18,O18)*Metodologia!$B$16)</x:f>
        <x:v>104.03124530639822</x:v>
      </x:c>
      <x:c r="T18" s="82" t="str">
        <x:v>Sim</x:v>
      </x:c>
      <x:c r="U18" s="82" t="str">
        <x:v>Rankeado</x:v>
      </x:c>
      <x:c r="V18" s="82" t="str">
        <x:v>Perfil físico; melhor atributo ofensivo 95, ofensiva secundária 70, robustez relativa 67% e Speed 70. O índice privilegia dano de hunt, sem ignorar sobrevivência.</x:v>
      </x:c>
      <x:c r="W18" s="82" t="str">
        <x:v>Fica atrás de Slowking principalmente por teto ofensivo 5.0% menor e ofensiva secundária 6.7% menor.</x:v>
      </x:c>
      <x:c r="X18" s="82" t="str">
        <x:v>Fica à frente de Cloyster porque possui robustez sustentada 21.7% maior.</x:v>
      </x:c>
      <x:c r="Y18" s="154" t="str">
        <x:v>https://poke.idleworld.online/pokepedia/pokemon/poliwrath</x:v>
      </x:c>
    </x:row>
    <x:row r="19" ht="48" customHeight="1">
      <x:c r="A19" s="82" t="n">
        <x:f>IF(U19&lt;&gt;"Rankeado","",COUNTIFS($U$5:$U$61,"Rankeado",$I$5:$I$61,"&gt;"&amp;I19)+COUNTIFS($U$5:U19,"Rankeado",$I$5:I19,I19))</x:f>
        <x:v>15</x:v>
      </x:c>
      <x:c r="B19" s="82" t="n">
        <x:f>COUNTIF($I$5:$I$61,"&gt;"&amp;I19)+COUNTIF($I$5:I19,I19)</x:f>
        <x:v>17</x:v>
      </x:c>
      <x:c r="C19" s="82" t="str">
        <x:f>IF(I19&gt;=80,"S+",IF(I19&gt;=72,"S",IF(I19&gt;=65,"A",IF(I19&gt;=58,"B",IF(I19&gt;=50,"C",IF(I19&gt;=42,"D","E"))))))</x:f>
        <x:v>B</x:v>
      </x:c>
      <x:c r="D19" s="82" t="str">
        <x:f>IF(AND(U19="Rankeado",A19&lt;=6),"Sim","Não")</x:f>
        <x:v>Não</x:v>
      </x:c>
      <x:c r="E19" s="82" t="n">
        <x:v>91</x:v>
      </x:c>
      <x:c r="F19" s="80" t="str">
        <x:v>Cloyster</x:v>
      </x:c>
      <x:c r="G19" s="82" t="str">
        <x:v>Água / Gelo</x:v>
      </x:c>
      <x:c r="H19" s="82" t="str">
        <x:v>Misto</x:v>
      </x:c>
      <x:c r="I19" s="142" t="n">
        <x:f>ROUND(100*(Metodologia!$B$17*(Q19/Metodologia!$B$22)+Metodologia!$B$18*(R19/Metodologia!$B$23)+Metodologia!$B$19*(S19/Metodologia!$B$24)+Metodologia!$B$20*(P19/Metodologia!$B$25)+Metodologia!$B$21*(J19/Metodologia!$B$26)),2)</x:f>
        <x:v>61.54</x:v>
      </x:c>
      <x:c r="J19" s="82" t="n">
        <x:f>SUM(K19:P19)</x:f>
        <x:v>525</x:v>
      </x:c>
      <x:c r="K19" s="82" t="n">
        <x:v>50</x:v>
      </x:c>
      <x:c r="L19" s="82" t="n">
        <x:v>95</x:v>
      </x:c>
      <x:c r="M19" s="82" t="n">
        <x:v>180</x:v>
      </x:c>
      <x:c r="N19" s="82" t="n">
        <x:v>85</x:v>
      </x:c>
      <x:c r="O19" s="82" t="n">
        <x:v>45</x:v>
      </x:c>
      <x:c r="P19" s="82" t="n">
        <x:v>70</x:v>
      </x:c>
      <x:c r="Q19" s="143" t="n">
        <x:f>MAX(L19,N19)*Metodologia!$B$16</x:f>
        <x:v>123.5</x:v>
      </x:c>
      <x:c r="R19" s="143" t="n">
        <x:f>MIN(L19,N19)*Metodologia!$B$16</x:f>
        <x:v>110.5</x:v>
      </x:c>
      <x:c r="S19" s="143" t="n">
        <x:f>SQRT(K19*AVERAGE(M19,O19)*Metodologia!$B$16)</x:f>
        <x:v>85.51315688243535</x:v>
      </x:c>
      <x:c r="T19" s="82" t="str">
        <x:v>Sim</x:v>
      </x:c>
      <x:c r="U19" s="82" t="str">
        <x:v>Rankeado</x:v>
      </x:c>
      <x:c r="V19" s="82" t="str">
        <x:v>Perfil misto; melhor atributo ofensivo 95, ofensiva secundária 85, robustez relativa 55% e Speed 70. O índice privilegia dano de hunt, sem ignorar sobrevivência.</x:v>
      </x:c>
      <x:c r="W19" s="82" t="str">
        <x:v>Fica atrás de Poliwrath principalmente por robustez sustentada 17.8% menor.</x:v>
      </x:c>
      <x:c r="X19" s="82" t="str">
        <x:v>Fica à frente de Lapras porque possui teto ofensivo 11.8% maior e velocidade 16.7% maior.</x:v>
      </x:c>
      <x:c r="Y19" s="154" t="str">
        <x:v>https://poke.idleworld.online/pokepedia/pokemon/cloyster</x:v>
      </x:c>
    </x:row>
    <x:row r="20" ht="48" customHeight="1">
      <x:c r="A20" s="82" t="n">
        <x:f>IF(U20&lt;&gt;"Rankeado","",COUNTIFS($U$5:$U$61,"Rankeado",$I$5:$I$61,"&gt;"&amp;I20)+COUNTIFS($U$5:U20,"Rankeado",$I$5:I20,I20))</x:f>
        <x:v>16</x:v>
      </x:c>
      <x:c r="B20" s="82" t="n">
        <x:f>COUNTIF($I$5:$I$61,"&gt;"&amp;I20)+COUNTIF($I$5:I20,I20)</x:f>
        <x:v>18</x:v>
      </x:c>
      <x:c r="C20" s="82" t="str">
        <x:f>IF(I20&gt;=80,"S+",IF(I20&gt;=72,"S",IF(I20&gt;=65,"A",IF(I20&gt;=58,"B",IF(I20&gt;=50,"C",IF(I20&gt;=42,"D","E"))))))</x:f>
        <x:v>B</x:v>
      </x:c>
      <x:c r="D20" s="82" t="str">
        <x:f>IF(AND(U20="Rankeado",A20&lt;=6),"Sim","Não")</x:f>
        <x:v>Não</x:v>
      </x:c>
      <x:c r="E20" s="82" t="n">
        <x:v>131</x:v>
      </x:c>
      <x:c r="F20" s="80" t="str">
        <x:v>Lapras</x:v>
      </x:c>
      <x:c r="G20" s="82" t="str">
        <x:v>Água / Gelo</x:v>
      </x:c>
      <x:c r="H20" s="82" t="str">
        <x:v>Misto</x:v>
      </x:c>
      <x:c r="I20" s="142" t="n">
        <x:f>ROUND(100*(Metodologia!$B$17*(Q20/Metodologia!$B$22)+Metodologia!$B$18*(R20/Metodologia!$B$23)+Metodologia!$B$19*(S20/Metodologia!$B$24)+Metodologia!$B$20*(P20/Metodologia!$B$25)+Metodologia!$B$21*(J20/Metodologia!$B$26)),2)</x:f>
        <x:v>60.54</x:v>
      </x:c>
      <x:c r="J20" s="82" t="n">
        <x:f>SUM(K20:P20)</x:f>
        <x:v>535</x:v>
      </x:c>
      <x:c r="K20" s="82" t="n">
        <x:v>130</x:v>
      </x:c>
      <x:c r="L20" s="82" t="n">
        <x:v>85</x:v>
      </x:c>
      <x:c r="M20" s="82" t="n">
        <x:v>80</x:v>
      </x:c>
      <x:c r="N20" s="82" t="n">
        <x:v>85</x:v>
      </x:c>
      <x:c r="O20" s="82" t="n">
        <x:v>95</x:v>
      </x:c>
      <x:c r="P20" s="82" t="n">
        <x:v>60</x:v>
      </x:c>
      <x:c r="Q20" s="143" t="n">
        <x:f>MAX(L20,N20)*Metodologia!$B$16</x:f>
        <x:v>110.5</x:v>
      </x:c>
      <x:c r="R20" s="143" t="n">
        <x:f>MIN(L20,N20)*Metodologia!$B$16</x:f>
        <x:v>110.5</x:v>
      </x:c>
      <x:c r="S20" s="143" t="n">
        <x:f>SQRT(K20*AVERAGE(M20,O20)*Metodologia!$B$16)</x:f>
        <x:v>121.60386507015309</x:v>
      </x:c>
      <x:c r="T20" s="82" t="str">
        <x:v>Sim</x:v>
      </x:c>
      <x:c r="U20" s="82" t="str">
        <x:v>Rankeado</x:v>
      </x:c>
      <x:c r="V20" s="82" t="str">
        <x:v>Perfil misto; melhor atributo ofensivo 85, ofensiva secundária 85, robustez relativa 78% e Speed 60. O índice privilegia dano de hunt, sem ignorar sobrevivência.</x:v>
      </x:c>
      <x:c r="W20" s="82" t="str">
        <x:v>Fica atrás de Cloyster principalmente por teto ofensivo 10.5% menor e velocidade 14.3% menor.</x:v>
      </x:c>
      <x:c r="X20" s="82" t="str">
        <x:v>Fica à frente de Piloswine porque possui robustez sustentada 27.5% maior e ofensiva secundária 41.7% maior.</x:v>
      </x:c>
      <x:c r="Y20" s="154" t="str">
        <x:v>https://poke.idleworld.online/pokepedia/pokemon/lapras</x:v>
      </x:c>
    </x:row>
    <x:row r="21" ht="48" customHeight="1">
      <x:c r="A21" s="82" t="n">
        <x:f>IF(U21&lt;&gt;"Rankeado","",COUNTIFS($U$5:$U$61,"Rankeado",$I$5:$I$61,"&gt;"&amp;I21)+COUNTIFS($U$5:U21,"Rankeado",$I$5:I21,I21))</x:f>
        <x:v>17</x:v>
      </x:c>
      <x:c r="B21" s="82" t="n">
        <x:f>COUNTIF($I$5:$I$61,"&gt;"&amp;I21)+COUNTIF($I$5:I21,I21)</x:f>
        <x:v>19</x:v>
      </x:c>
      <x:c r="C21" s="82" t="str">
        <x:f>IF(I21&gt;=80,"S+",IF(I21&gt;=72,"S",IF(I21&gt;=65,"A",IF(I21&gt;=58,"B",IF(I21&gt;=50,"C",IF(I21&gt;=42,"D","E"))))))</x:f>
        <x:v>B</x:v>
      </x:c>
      <x:c r="D21" s="82" t="str">
        <x:f>IF(AND(U21="Rankeado",A21&lt;=6),"Sim","Não")</x:f>
        <x:v>Não</x:v>
      </x:c>
      <x:c r="E21" s="82" t="n">
        <x:v>221</x:v>
      </x:c>
      <x:c r="F21" s="80" t="str">
        <x:v>Piloswine</x:v>
      </x:c>
      <x:c r="G21" s="82" t="str">
        <x:v>Gelo / Terra</x:v>
      </x:c>
      <x:c r="H21" s="82" t="str">
        <x:v>Físico</x:v>
      </x:c>
      <x:c r="I21" s="142" t="n">
        <x:f>ROUND(100*(Metodologia!$B$17*(Q21/Metodologia!$B$22)+Metodologia!$B$18*(R21/Metodologia!$B$23)+Metodologia!$B$19*(S21/Metodologia!$B$24)+Metodologia!$B$20*(P21/Metodologia!$B$25)+Metodologia!$B$21*(J21/Metodologia!$B$26)),2)</x:f>
        <x:v>60.29</x:v>
      </x:c>
      <x:c r="J21" s="82" t="n">
        <x:f>SUM(K21:P21)</x:f>
        <x:v>450</x:v>
      </x:c>
      <x:c r="K21" s="82" t="n">
        <x:v>100</x:v>
      </x:c>
      <x:c r="L21" s="82" t="n">
        <x:v>100</x:v>
      </x:c>
      <x:c r="M21" s="82" t="n">
        <x:v>80</x:v>
      </x:c>
      <x:c r="N21" s="82" t="n">
        <x:v>60</x:v>
      </x:c>
      <x:c r="O21" s="82" t="n">
        <x:v>60</x:v>
      </x:c>
      <x:c r="P21" s="82" t="n">
        <x:v>50</x:v>
      </x:c>
      <x:c r="Q21" s="143" t="n">
        <x:f>MAX(L21,N21)*Metodologia!$B$16</x:f>
        <x:v>130</x:v>
      </x:c>
      <x:c r="R21" s="143" t="n">
        <x:f>MIN(L21,N21)*Metodologia!$B$16</x:f>
        <x:v>78</x:v>
      </x:c>
      <x:c r="S21" s="143" t="n">
        <x:f>SQRT(K21*AVERAGE(M21,O21)*Metodologia!$B$16)</x:f>
        <x:v>95.39392014169457</x:v>
      </x:c>
      <x:c r="T21" s="82" t="str">
        <x:v>Sim</x:v>
      </x:c>
      <x:c r="U21" s="82" t="str">
        <x:v>Rankeado</x:v>
      </x:c>
      <x:c r="V21" s="82" t="str">
        <x:v>Perfil físico; melhor atributo ofensivo 100, ofensiva secundária 60, robustez relativa 62% e Speed 50. O índice privilegia dano de hunt, sem ignorar sobrevivência.</x:v>
      </x:c>
      <x:c r="W21" s="82" t="str">
        <x:v>Fica atrás de Lapras principalmente por robustez sustentada 21.6% menor e ofensiva secundária 29.4% menor.</x:v>
      </x:c>
      <x:c r="X21" s="82" t="str">
        <x:v>Fica à frente de Politoed porque possui teto ofensivo 11.1% maior.</x:v>
      </x:c>
      <x:c r="Y21" s="154" t="str">
        <x:v>https://poke.idleworld.online/pokepedia/pokemon/piloswine</x:v>
      </x:c>
    </x:row>
    <x:row r="22" ht="48" customHeight="1">
      <x:c r="A22" s="82" t="n">
        <x:f>IF(U22&lt;&gt;"Rankeado","",COUNTIFS($U$5:$U$61,"Rankeado",$I$5:$I$61,"&gt;"&amp;I22)+COUNTIFS($U$5:U22,"Rankeado",$I$5:I22,I22))</x:f>
        <x:v>18</x:v>
      </x:c>
      <x:c r="B22" s="82" t="n">
        <x:f>COUNTIF($I$5:$I$61,"&gt;"&amp;I22)+COUNTIF($I$5:I22,I22)</x:f>
        <x:v>20</x:v>
      </x:c>
      <x:c r="C22" s="82" t="str">
        <x:f>IF(I22&gt;=80,"S+",IF(I22&gt;=72,"S",IF(I22&gt;=65,"A",IF(I22&gt;=58,"B",IF(I22&gt;=50,"C",IF(I22&gt;=42,"D","E"))))))</x:f>
        <x:v>B</x:v>
      </x:c>
      <x:c r="D22" s="82" t="str">
        <x:f>IF(AND(U22="Rankeado",A22&lt;=6),"Sim","Não")</x:f>
        <x:v>Não</x:v>
      </x:c>
      <x:c r="E22" s="82" t="n">
        <x:v>186</x:v>
      </x:c>
      <x:c r="F22" s="80" t="str">
        <x:v>Politoed</x:v>
      </x:c>
      <x:c r="G22" s="82" t="str">
        <x:v>Água</x:v>
      </x:c>
      <x:c r="H22" s="82" t="str">
        <x:v>Especial</x:v>
      </x:c>
      <x:c r="I22" s="142" t="n">
        <x:f>ROUND(100*(Metodologia!$B$17*(Q22/Metodologia!$B$22)+Metodologia!$B$18*(R22/Metodologia!$B$23)+Metodologia!$B$19*(S22/Metodologia!$B$24)+Metodologia!$B$20*(P22/Metodologia!$B$25)+Metodologia!$B$21*(J22/Metodologia!$B$26)),2)</x:f>
        <x:v>60.02</x:v>
      </x:c>
      <x:c r="J22" s="82" t="n">
        <x:f>SUM(K22:P22)</x:f>
        <x:v>500</x:v>
      </x:c>
      <x:c r="K22" s="82" t="n">
        <x:v>90</x:v>
      </x:c>
      <x:c r="L22" s="82" t="n">
        <x:v>75</x:v>
      </x:c>
      <x:c r="M22" s="82" t="n">
        <x:v>75</x:v>
      </x:c>
      <x:c r="N22" s="82" t="n">
        <x:v>90</x:v>
      </x:c>
      <x:c r="O22" s="82" t="n">
        <x:v>100</x:v>
      </x:c>
      <x:c r="P22" s="82" t="n">
        <x:v>70</x:v>
      </x:c>
      <x:c r="Q22" s="143" t="n">
        <x:f>MAX(L22,N22)*Metodologia!$B$16</x:f>
        <x:v>117</x:v>
      </x:c>
      <x:c r="R22" s="143" t="n">
        <x:f>MIN(L22,N22)*Metodologia!$B$16</x:f>
        <x:v>97.5</x:v>
      </x:c>
      <x:c r="S22" s="143" t="n">
        <x:f>SQRT(K22*AVERAGE(M22,O22)*Metodologia!$B$16)</x:f>
        <x:v>101.18053172424031</x:v>
      </x:c>
      <x:c r="T22" s="82" t="str">
        <x:v>Sim</x:v>
      </x:c>
      <x:c r="U22" s="82" t="str">
        <x:v>Rankeado</x:v>
      </x:c>
      <x:c r="V22" s="82" t="str">
        <x:v>Perfil especial; melhor atributo ofensivo 90, ofensiva secundária 75, robustez relativa 65% e Speed 70. O índice privilegia dano de hunt, sem ignorar sobrevivência.</x:v>
      </x:c>
      <x:c r="W22" s="82" t="str">
        <x:v>Fica atrás de Piloswine principalmente por teto ofensivo 10.0% menor.</x:v>
      </x:c>
      <x:c r="X22" s="82" t="str">
        <x:v>Fica à frente de Blastoise porque possui teto ofensivo 5.9% maior.</x:v>
      </x:c>
      <x:c r="Y22" s="154" t="str">
        <x:v>https://poke.idleworld.online/pokepedia/pokemon/politoed</x:v>
      </x:c>
    </x:row>
    <x:row r="23" ht="48" customHeight="1">
      <x:c r="A23" s="82" t="n">
        <x:f>IF(U23&lt;&gt;"Rankeado","",COUNTIFS($U$5:$U$61,"Rankeado",$I$5:$I$61,"&gt;"&amp;I23)+COUNTIFS($U$5:U23,"Rankeado",$I$5:I23,I23))</x:f>
        <x:v>19</x:v>
      </x:c>
      <x:c r="B23" s="82" t="n">
        <x:f>COUNTIF($I$5:$I$61,"&gt;"&amp;I23)+COUNTIF($I$5:I23,I23)</x:f>
        <x:v>21</x:v>
      </x:c>
      <x:c r="C23" s="82" t="str">
        <x:f>IF(I23&gt;=80,"S+",IF(I23&gt;=72,"S",IF(I23&gt;=65,"A",IF(I23&gt;=58,"B",IF(I23&gt;=50,"C",IF(I23&gt;=42,"D","E"))))))</x:f>
        <x:v>B</x:v>
      </x:c>
      <x:c r="D23" s="82" t="str">
        <x:f>IF(AND(U23="Rankeado",A23&lt;=6),"Sim","Não")</x:f>
        <x:v>Não</x:v>
      </x:c>
      <x:c r="E23" s="82" t="n">
        <x:v>9</x:v>
      </x:c>
      <x:c r="F23" s="80" t="str">
        <x:v>Blastoise</x:v>
      </x:c>
      <x:c r="G23" s="82" t="str">
        <x:v>Água</x:v>
      </x:c>
      <x:c r="H23" s="82" t="str">
        <x:v>Misto</x:v>
      </x:c>
      <x:c r="I23" s="142" t="n">
        <x:f>ROUND(100*(Metodologia!$B$17*(Q23/Metodologia!$B$22)+Metodologia!$B$18*(R23/Metodologia!$B$23)+Metodologia!$B$19*(S23/Metodologia!$B$24)+Metodologia!$B$20*(P23/Metodologia!$B$25)+Metodologia!$B$21*(J23/Metodologia!$B$26)),2)</x:f>
        <x:v>59.69</x:v>
      </x:c>
      <x:c r="J23" s="82" t="n">
        <x:f>SUM(K23:P23)</x:f>
        <x:v>530</x:v>
      </x:c>
      <x:c r="K23" s="82" t="n">
        <x:v>79</x:v>
      </x:c>
      <x:c r="L23" s="82" t="n">
        <x:v>83</x:v>
      </x:c>
      <x:c r="M23" s="82" t="n">
        <x:v>100</x:v>
      </x:c>
      <x:c r="N23" s="82" t="n">
        <x:v>85</x:v>
      </x:c>
      <x:c r="O23" s="82" t="n">
        <x:v>105</x:v>
      </x:c>
      <x:c r="P23" s="82" t="n">
        <x:v>78</x:v>
      </x:c>
      <x:c r="Q23" s="143" t="n">
        <x:f>MAX(L23,N23)*Metodologia!$B$16</x:f>
        <x:v>110.5</x:v>
      </x:c>
      <x:c r="R23" s="143" t="n">
        <x:f>MIN(L23,N23)*Metodologia!$B$16</x:f>
        <x:v>107.9</x:v>
      </x:c>
      <x:c r="S23" s="143" t="n">
        <x:f>SQRT(K23*AVERAGE(M23,O23)*Metodologia!$B$16)</x:f>
        <x:v>102.59995126704496</x:v>
      </x:c>
      <x:c r="T23" s="82" t="str">
        <x:v>Sim</x:v>
      </x:c>
      <x:c r="U23" s="82" t="str">
        <x:v>Rankeado</x:v>
      </x:c>
      <x:c r="V23" s="82" t="str">
        <x:v>Perfil misto; melhor atributo ofensivo 85, ofensiva secundária 83, robustez relativa 66% e Speed 78. O índice privilegia dano de hunt, sem ignorar sobrevivência.</x:v>
      </x:c>
      <x:c r="W23" s="82" t="str">
        <x:v>Fica atrás de Politoed principalmente por teto ofensivo 5.6% menor.</x:v>
      </x:c>
      <x:c r="X23" s="82" t="str">
        <x:v>Fica à frente de Seadra porque possui robustez sustentada 45.0% maior e ofensiva secundária 27.7% maior.</x:v>
      </x:c>
      <x:c r="Y23" s="154" t="str">
        <x:v>https://poke.idleworld.online/pokepedia/pokemon/blastoise</x:v>
      </x:c>
    </x:row>
    <x:row r="24" ht="48" customHeight="1">
      <x:c r="A24" s="82" t="n">
        <x:f>IF(U24&lt;&gt;"Rankeado","",COUNTIFS($U$5:$U$61,"Rankeado",$I$5:$I$61,"&gt;"&amp;I24)+COUNTIFS($U$5:U24,"Rankeado",$I$5:I24,I24))</x:f>
        <x:v>20</x:v>
      </x:c>
      <x:c r="B24" s="82" t="n">
        <x:f>COUNTIF($I$5:$I$61,"&gt;"&amp;I24)+COUNTIF($I$5:I24,I24)</x:f>
        <x:v>22</x:v>
      </x:c>
      <x:c r="C24" s="82" t="str">
        <x:f>IF(I24&gt;=80,"S+",IF(I24&gt;=72,"S",IF(I24&gt;=65,"A",IF(I24&gt;=58,"B",IF(I24&gt;=50,"C",IF(I24&gt;=42,"D","E"))))))</x:f>
        <x:v>B</x:v>
      </x:c>
      <x:c r="D24" s="82" t="str">
        <x:f>IF(AND(U24="Rankeado",A24&lt;=6),"Sim","Não")</x:f>
        <x:v>Não</x:v>
      </x:c>
      <x:c r="E24" s="82" t="n">
        <x:v>117</x:v>
      </x:c>
      <x:c r="F24" s="80" t="str">
        <x:v>Seadra</x:v>
      </x:c>
      <x:c r="G24" s="82" t="str">
        <x:v>Água</x:v>
      </x:c>
      <x:c r="H24" s="82" t="str">
        <x:v>Especial</x:v>
      </x:c>
      <x:c r="I24" s="142" t="n">
        <x:f>ROUND(100*(Metodologia!$B$17*(Q24/Metodologia!$B$22)+Metodologia!$B$18*(R24/Metodologia!$B$23)+Metodologia!$B$19*(S24/Metodologia!$B$24)+Metodologia!$B$20*(P24/Metodologia!$B$25)+Metodologia!$B$21*(J24/Metodologia!$B$26)),2)</x:f>
        <x:v>58.67</x:v>
      </x:c>
      <x:c r="J24" s="82" t="n">
        <x:f>SUM(K24:P24)</x:f>
        <x:v>440</x:v>
      </x:c>
      <x:c r="K24" s="82" t="n">
        <x:v>55</x:v>
      </x:c>
      <x:c r="L24" s="82" t="n">
        <x:v>65</x:v>
      </x:c>
      <x:c r="M24" s="82" t="n">
        <x:v>95</x:v>
      </x:c>
      <x:c r="N24" s="82" t="n">
        <x:v>95</x:v>
      </x:c>
      <x:c r="O24" s="82" t="n">
        <x:v>45</x:v>
      </x:c>
      <x:c r="P24" s="82" t="n">
        <x:v>85</x:v>
      </x:c>
      <x:c r="Q24" s="143" t="n">
        <x:f>MAX(L24,N24)*Metodologia!$B$16</x:f>
        <x:v>123.5</x:v>
      </x:c>
      <x:c r="R24" s="143" t="n">
        <x:f>MIN(L24,N24)*Metodologia!$B$16</x:f>
        <x:v>84.5</x:v>
      </x:c>
      <x:c r="S24" s="143" t="n">
        <x:f>SQRT(K24*AVERAGE(M24,O24)*Metodologia!$B$16)</x:f>
        <x:v>70.74602462329597</x:v>
      </x:c>
      <x:c r="T24" s="82" t="str">
        <x:v>Não</x:v>
      </x:c>
      <x:c r="U24" s="82" t="str">
        <x:v>Rankeado</x:v>
      </x:c>
      <x:c r="V24" s="82" t="str">
        <x:v>Perfil especial; melhor atributo ofensivo 95, ofensiva secundária 65, robustez relativa 46% e Speed 85. O índice privilegia dano de hunt, sem ignorar sobrevivência.</x:v>
      </x:c>
      <x:c r="W24" s="82" t="str">
        <x:v>Fica atrás de Blastoise principalmente por robustez sustentada 31.0% menor e ofensiva secundária 21.7% menor.</x:v>
      </x:c>
      <x:c r="X24" s="82" t="str">
        <x:v>Fica à frente de Qwilfish porque possui ofensiva secundária 18.2% maior.</x:v>
      </x:c>
      <x:c r="Y24" s="154" t="str">
        <x:v>https://poke.idleworld.online/pokepedia/pokemon/seadra</x:v>
      </x:c>
    </x:row>
    <x:row r="25" ht="48" customHeight="1">
      <x:c r="A25" s="82" t="n">
        <x:f>IF(U25&lt;&gt;"Rankeado","",COUNTIFS($U$5:$U$61,"Rankeado",$I$5:$I$61,"&gt;"&amp;I25)+COUNTIFS($U$5:U25,"Rankeado",$I$5:I25,I25))</x:f>
        <x:v>21</x:v>
      </x:c>
      <x:c r="B25" s="82" t="n">
        <x:f>COUNTIF($I$5:$I$61,"&gt;"&amp;I25)+COUNTIF($I$5:I25,I25)</x:f>
        <x:v>23</x:v>
      </x:c>
      <x:c r="C25" s="82" t="str">
        <x:f>IF(I25&gt;=80,"S+",IF(I25&gt;=72,"S",IF(I25&gt;=65,"A",IF(I25&gt;=58,"B",IF(I25&gt;=50,"C",IF(I25&gt;=42,"D","E"))))))</x:f>
        <x:v>B</x:v>
      </x:c>
      <x:c r="D25" s="82" t="str">
        <x:f>IF(AND(U25="Rankeado",A25&lt;=6),"Sim","Não")</x:f>
        <x:v>Não</x:v>
      </x:c>
      <x:c r="E25" s="82" t="n">
        <x:v>211</x:v>
      </x:c>
      <x:c r="F25" s="80" t="str">
        <x:v>Qwilfish</x:v>
      </x:c>
      <x:c r="G25" s="82" t="str">
        <x:v>Água / Veneno</x:v>
      </x:c>
      <x:c r="H25" s="82" t="str">
        <x:v>Físico</x:v>
      </x:c>
      <x:c r="I25" s="142" t="n">
        <x:f>ROUND(100*(Metodologia!$B$17*(Q25/Metodologia!$B$22)+Metodologia!$B$18*(R25/Metodologia!$B$23)+Metodologia!$B$19*(S25/Metodologia!$B$24)+Metodologia!$B$20*(P25/Metodologia!$B$25)+Metodologia!$B$21*(J25/Metodologia!$B$26)),2)</x:f>
        <x:v>58.36</x:v>
      </x:c>
      <x:c r="J25" s="82" t="n">
        <x:f>SUM(K25:P25)</x:f>
        <x:v>440</x:v>
      </x:c>
      <x:c r="K25" s="82" t="n">
        <x:v>65</x:v>
      </x:c>
      <x:c r="L25" s="82" t="n">
        <x:v>95</x:v>
      </x:c>
      <x:c r="M25" s="82" t="n">
        <x:v>85</x:v>
      </x:c>
      <x:c r="N25" s="82" t="n">
        <x:v>55</x:v>
      </x:c>
      <x:c r="O25" s="82" t="n">
        <x:v>55</x:v>
      </x:c>
      <x:c r="P25" s="82" t="n">
        <x:v>85</x:v>
      </x:c>
      <x:c r="Q25" s="143" t="n">
        <x:f>MAX(L25,N25)*Metodologia!$B$16</x:f>
        <x:v>123.5</x:v>
      </x:c>
      <x:c r="R25" s="143" t="n">
        <x:f>MIN(L25,N25)*Metodologia!$B$16</x:f>
        <x:v>71.5</x:v>
      </x:c>
      <x:c r="S25" s="143" t="n">
        <x:f>SQRT(K25*AVERAGE(M25,O25)*Metodologia!$B$16)</x:f>
        <x:v>76.909037180295</x:v>
      </x:c>
      <x:c r="T25" s="82" t="str">
        <x:v>Não</x:v>
      </x:c>
      <x:c r="U25" s="82" t="str">
        <x:v>Rankeado</x:v>
      </x:c>
      <x:c r="V25" s="82" t="str">
        <x:v>Perfil físico; melhor atributo ofensivo 95, ofensiva secundária 55, robustez relativa 50% e Speed 85. O índice privilegia dano de hunt, sem ignorar sobrevivência.</x:v>
      </x:c>
      <x:c r="W25" s="82" t="str">
        <x:v>Fica atrás de Seadra principalmente por ofensiva secundária 15.4% menor.</x:v>
      </x:c>
      <x:c r="X25" s="82" t="str">
        <x:v>Fica à frente de Seaking porque possui teto ofensivo 3.3% maior e velocidade 25.0% maior.</x:v>
      </x:c>
      <x:c r="Y25" s="154" t="str">
        <x:v>https://poke.idleworld.online/pokepedia/pokemon/qwilfish</x:v>
      </x:c>
    </x:row>
    <x:row r="26" ht="48" customHeight="1">
      <x:c r="A26" s="82" t="n">
        <x:f>IF(U26&lt;&gt;"Rankeado","",COUNTIFS($U$5:$U$61,"Rankeado",$I$5:$I$61,"&gt;"&amp;I26)+COUNTIFS($U$5:U26,"Rankeado",$I$5:I26,I26))</x:f>
        <x:v>22</x:v>
      </x:c>
      <x:c r="B26" s="82" t="n">
        <x:f>COUNTIF($I$5:$I$61,"&gt;"&amp;I26)+COUNTIF($I$5:I26,I26)</x:f>
        <x:v>24</x:v>
      </x:c>
      <x:c r="C26" s="82" t="str">
        <x:f>IF(I26&gt;=80,"S+",IF(I26&gt;=72,"S",IF(I26&gt;=65,"A",IF(I26&gt;=58,"B",IF(I26&gt;=50,"C",IF(I26&gt;=42,"D","E"))))))</x:f>
        <x:v>B</x:v>
      </x:c>
      <x:c r="D26" s="82" t="str">
        <x:f>IF(AND(U26="Rankeado",A26&lt;=6),"Sim","Não")</x:f>
        <x:v>Não</x:v>
      </x:c>
      <x:c r="E26" s="82" t="n">
        <x:v>119</x:v>
      </x:c>
      <x:c r="F26" s="80" t="str">
        <x:v>Seaking</x:v>
      </x:c>
      <x:c r="G26" s="82" t="str">
        <x:v>Água</x:v>
      </x:c>
      <x:c r="H26" s="82" t="str">
        <x:v>Físico</x:v>
      </x:c>
      <x:c r="I26" s="142" t="n">
        <x:f>ROUND(100*(Metodologia!$B$17*(Q26/Metodologia!$B$22)+Metodologia!$B$18*(R26/Metodologia!$B$23)+Metodologia!$B$19*(S26/Metodologia!$B$24)+Metodologia!$B$20*(P26/Metodologia!$B$25)+Metodologia!$B$21*(J26/Metodologia!$B$26)),2)</x:f>
        <x:v>58</x:v>
      </x:c>
      <x:c r="J26" s="82" t="n">
        <x:f>SUM(K26:P26)</x:f>
        <x:v>450</x:v>
      </x:c>
      <x:c r="K26" s="82" t="n">
        <x:v>80</x:v>
      </x:c>
      <x:c r="L26" s="82" t="n">
        <x:v>92</x:v>
      </x:c>
      <x:c r="M26" s="82" t="n">
        <x:v>65</x:v>
      </x:c>
      <x:c r="N26" s="82" t="n">
        <x:v>65</x:v>
      </x:c>
      <x:c r="O26" s="82" t="n">
        <x:v>80</x:v>
      </x:c>
      <x:c r="P26" s="82" t="n">
        <x:v>68</x:v>
      </x:c>
      <x:c r="Q26" s="143" t="n">
        <x:f>MAX(L26,N26)*Metodologia!$B$16</x:f>
        <x:v>119.60000000000001</x:v>
      </x:c>
      <x:c r="R26" s="143" t="n">
        <x:f>MIN(L26,N26)*Metodologia!$B$16</x:f>
        <x:v>84.5</x:v>
      </x:c>
      <x:c r="S26" s="143" t="n">
        <x:f>SQRT(K26*AVERAGE(M26,O26)*Metodologia!$B$16)</x:f>
        <x:v>86.83317338436964</x:v>
      </x:c>
      <x:c r="T26" s="82" t="str">
        <x:v>Não</x:v>
      </x:c>
      <x:c r="U26" s="82" t="str">
        <x:v>Rankeado</x:v>
      </x:c>
      <x:c r="V26" s="82" t="str">
        <x:v>Perfil físico; melhor atributo ofensivo 92, ofensiva secundária 65, robustez relativa 56% e Speed 68. O índice privilegia dano de hunt, sem ignorar sobrevivência.</x:v>
      </x:c>
      <x:c r="W26" s="82" t="str">
        <x:v>Fica atrás de Qwilfish principalmente por teto ofensivo 3.2% menor e velocidade 20.0% menor.</x:v>
      </x:c>
      <x:c r="X26" s="82" t="str">
        <x:v>Fica à frente de Sneasel porque possui ofensiva secundária 85.7% maior e robustez sustentada 27.4% maior.</x:v>
      </x:c>
      <x:c r="Y26" s="154" t="str">
        <x:v>https://poke.idleworld.online/pokepedia/pokemon/seaking</x:v>
      </x:c>
    </x:row>
    <x:row r="27" ht="48" customHeight="1">
      <x:c r="A27" s="82" t="n">
        <x:f>IF(U27&lt;&gt;"Rankeado","",COUNTIFS($U$5:$U$61,"Rankeado",$I$5:$I$61,"&gt;"&amp;I27)+COUNTIFS($U$5:U27,"Rankeado",$I$5:I27,I27))</x:f>
        <x:v>23</x:v>
      </x:c>
      <x:c r="B27" s="82" t="n">
        <x:f>COUNTIF($I$5:$I$61,"&gt;"&amp;I27)+COUNTIF($I$5:I27,I27)</x:f>
        <x:v>25</x:v>
      </x:c>
      <x:c r="C27" s="82" t="str">
        <x:f>IF(I27&gt;=80,"S+",IF(I27&gt;=72,"S",IF(I27&gt;=65,"A",IF(I27&gt;=58,"B",IF(I27&gt;=50,"C",IF(I27&gt;=42,"D","E"))))))</x:f>
        <x:v>C</x:v>
      </x:c>
      <x:c r="D27" s="82" t="str">
        <x:f>IF(AND(U27="Rankeado",A27&lt;=6),"Sim","Não")</x:f>
        <x:v>Não</x:v>
      </x:c>
      <x:c r="E27" s="82" t="n">
        <x:v>215</x:v>
      </x:c>
      <x:c r="F27" s="80" t="str">
        <x:v>Sneasel</x:v>
      </x:c>
      <x:c r="G27" s="82" t="str">
        <x:v>Sombrio / Gelo</x:v>
      </x:c>
      <x:c r="H27" s="82" t="str">
        <x:v>Físico</x:v>
      </x:c>
      <x:c r="I27" s="142" t="n">
        <x:f>ROUND(100*(Metodologia!$B$17*(Q27/Metodologia!$B$22)+Metodologia!$B$18*(R27/Metodologia!$B$23)+Metodologia!$B$19*(S27/Metodologia!$B$24)+Metodologia!$B$20*(P27/Metodologia!$B$25)+Metodologia!$B$21*(J27/Metodologia!$B$26)),2)</x:f>
        <x:v>57.62</x:v>
      </x:c>
      <x:c r="J27" s="82" t="n">
        <x:f>SUM(K27:P27)</x:f>
        <x:v>430</x:v>
      </x:c>
      <x:c r="K27" s="82" t="n">
        <x:v>55</x:v>
      </x:c>
      <x:c r="L27" s="82" t="n">
        <x:v>95</x:v>
      </x:c>
      <x:c r="M27" s="82" t="n">
        <x:v>55</x:v>
      </x:c>
      <x:c r="N27" s="82" t="n">
        <x:v>35</x:v>
      </x:c>
      <x:c r="O27" s="82" t="n">
        <x:v>75</x:v>
      </x:c>
      <x:c r="P27" s="82" t="n">
        <x:v>115</x:v>
      </x:c>
      <x:c r="Q27" s="143" t="n">
        <x:f>MAX(L27,N27)*Metodologia!$B$16</x:f>
        <x:v>123.5</x:v>
      </x:c>
      <x:c r="R27" s="143" t="n">
        <x:f>MIN(L27,N27)*Metodologia!$B$16</x:f>
        <x:v>45.5</x:v>
      </x:c>
      <x:c r="S27" s="143" t="n">
        <x:f>SQRT(K27*AVERAGE(M27,O27)*Metodologia!$B$16)</x:f>
        <x:v>68.17257513105984</x:v>
      </x:c>
      <x:c r="T27" s="82" t="str">
        <x:v>Não</x:v>
      </x:c>
      <x:c r="U27" s="82" t="str">
        <x:v>Rankeado</x:v>
      </x:c>
      <x:c r="V27" s="82" t="str">
        <x:v>Perfil físico; melhor atributo ofensivo 95, ofensiva secundária 35, robustez relativa 44% e Speed 115. O índice privilegia dano de hunt, sem ignorar sobrevivência.</x:v>
      </x:c>
      <x:c r="W27" s="82" t="str">
        <x:v>Fica atrás de Seaking principalmente por ofensiva secundária 46.2% menor e robustez sustentada 21.5% menor.</x:v>
      </x:c>
      <x:c r="X27" s="82" t="str">
        <x:v>Fica à frente de Tentacruel porque possui teto ofensivo 18.8% maior e velocidade 15.0% maior.</x:v>
      </x:c>
      <x:c r="Y27" s="154" t="str">
        <x:v>https://poke.idleworld.online/pokepedia/pokemon/sneasel</x:v>
      </x:c>
    </x:row>
    <x:row r="28" ht="48" customHeight="1">
      <x:c r="A28" s="82" t="n">
        <x:f>IF(U28&lt;&gt;"Rankeado","",COUNTIFS($U$5:$U$61,"Rankeado",$I$5:$I$61,"&gt;"&amp;I28)+COUNTIFS($U$5:U28,"Rankeado",$I$5:I28,I28))</x:f>
        <x:v>24</x:v>
      </x:c>
      <x:c r="B28" s="82" t="n">
        <x:f>COUNTIF($I$5:$I$61,"&gt;"&amp;I28)+COUNTIF($I$5:I28,I28)</x:f>
        <x:v>26</x:v>
      </x:c>
      <x:c r="C28" s="82" t="str">
        <x:f>IF(I28&gt;=80,"S+",IF(I28&gt;=72,"S",IF(I28&gt;=65,"A",IF(I28&gt;=58,"B",IF(I28&gt;=50,"C",IF(I28&gt;=42,"D","E"))))))</x:f>
        <x:v>C</x:v>
      </x:c>
      <x:c r="D28" s="82" t="str">
        <x:f>IF(AND(U28="Rankeado",A28&lt;=6),"Sim","Não")</x:f>
        <x:v>Não</x:v>
      </x:c>
      <x:c r="E28" s="82" t="n">
        <x:v>73</x:v>
      </x:c>
      <x:c r="F28" s="80" t="str">
        <x:v>Tentacruel</x:v>
      </x:c>
      <x:c r="G28" s="82" t="str">
        <x:v>Água / Veneno</x:v>
      </x:c>
      <x:c r="H28" s="82" t="str">
        <x:v>Misto</x:v>
      </x:c>
      <x:c r="I28" s="142" t="n">
        <x:f>ROUND(100*(Metodologia!$B$17*(Q28/Metodologia!$B$22)+Metodologia!$B$18*(R28/Metodologia!$B$23)+Metodologia!$B$19*(S28/Metodologia!$B$24)+Metodologia!$B$20*(P28/Metodologia!$B$25)+Metodologia!$B$21*(J28/Metodologia!$B$26)),2)</x:f>
        <x:v>57.48</x:v>
      </x:c>
      <x:c r="J28" s="82" t="n">
        <x:f>SUM(K28:P28)</x:f>
        <x:v>515</x:v>
      </x:c>
      <x:c r="K28" s="82" t="n">
        <x:v>80</x:v>
      </x:c>
      <x:c r="L28" s="82" t="n">
        <x:v>70</x:v>
      </x:c>
      <x:c r="M28" s="82" t="n">
        <x:v>65</x:v>
      </x:c>
      <x:c r="N28" s="82" t="n">
        <x:v>80</x:v>
      </x:c>
      <x:c r="O28" s="82" t="n">
        <x:v>120</x:v>
      </x:c>
      <x:c r="P28" s="82" t="n">
        <x:v>100</x:v>
      </x:c>
      <x:c r="Q28" s="143" t="n">
        <x:f>MAX(L28,N28)*Metodologia!$B$16</x:f>
        <x:v>104</x:v>
      </x:c>
      <x:c r="R28" s="143" t="n">
        <x:f>MIN(L28,N28)*Metodologia!$B$16</x:f>
        <x:v>91</x:v>
      </x:c>
      <x:c r="S28" s="143" t="n">
        <x:f>SQRT(K28*AVERAGE(M28,O28)*Metodologia!$B$16)</x:f>
        <x:v>98.08159868191383</x:v>
      </x:c>
      <x:c r="T28" s="82" t="str">
        <x:v>Sim</x:v>
      </x:c>
      <x:c r="U28" s="82" t="str">
        <x:v>Rankeado</x:v>
      </x:c>
      <x:c r="V28" s="82" t="str">
        <x:v>Perfil misto; melhor atributo ofensivo 80, ofensiva secundária 70, robustez relativa 63% e Speed 100. O índice privilegia dano de hunt, sem ignorar sobrevivência.</x:v>
      </x:c>
      <x:c r="W28" s="82" t="str">
        <x:v>Fica atrás de Sneasel principalmente por teto ofensivo 15.8% menor e velocidade 13.0% menor.</x:v>
      </x:c>
      <x:c r="X28" s="82" t="str">
        <x:v>Fica à frente de Quagsire porque possui velocidade 185.7% maior e total de stats 19.8% maior.</x:v>
      </x:c>
      <x:c r="Y28" s="154" t="str">
        <x:v>https://poke.idleworld.online/pokepedia/pokemon/tentacruel</x:v>
      </x:c>
    </x:row>
    <x:row r="29" ht="48" customHeight="1">
      <x:c r="A29" s="82" t="n">
        <x:f>IF(U29&lt;&gt;"Rankeado","",COUNTIFS($U$5:$U$61,"Rankeado",$I$5:$I$61,"&gt;"&amp;I29)+COUNTIFS($U$5:U29,"Rankeado",$I$5:I29,I29))</x:f>
        <x:v>25</x:v>
      </x:c>
      <x:c r="B29" s="82" t="n">
        <x:f>COUNTIF($I$5:$I$61,"&gt;"&amp;I29)+COUNTIF($I$5:I29,I29)</x:f>
        <x:v>27</x:v>
      </x:c>
      <x:c r="C29" s="82" t="str">
        <x:f>IF(I29&gt;=80,"S+",IF(I29&gt;=72,"S",IF(I29&gt;=65,"A",IF(I29&gt;=58,"B",IF(I29&gt;=50,"C",IF(I29&gt;=42,"D","E"))))))</x:f>
        <x:v>C</x:v>
      </x:c>
      <x:c r="D29" s="82" t="str">
        <x:f>IF(AND(U29="Rankeado",A29&lt;=6),"Sim","Não")</x:f>
        <x:v>Não</x:v>
      </x:c>
      <x:c r="E29" s="82" t="n">
        <x:v>195</x:v>
      </x:c>
      <x:c r="F29" s="80" t="str">
        <x:v>Quagsire</x:v>
      </x:c>
      <x:c r="G29" s="82" t="str">
        <x:v>Água / Terra</x:v>
      </x:c>
      <x:c r="H29" s="82" t="str">
        <x:v>Físico</x:v>
      </x:c>
      <x:c r="I29" s="142" t="n">
        <x:f>ROUND(100*(Metodologia!$B$17*(Q29/Metodologia!$B$22)+Metodologia!$B$18*(R29/Metodologia!$B$23)+Metodologia!$B$19*(S29/Metodologia!$B$24)+Metodologia!$B$20*(P29/Metodologia!$B$25)+Metodologia!$B$21*(J29/Metodologia!$B$26)),2)</x:f>
        <x:v>53.83</x:v>
      </x:c>
      <x:c r="J29" s="82" t="n">
        <x:f>SUM(K29:P29)</x:f>
        <x:v>430</x:v>
      </x:c>
      <x:c r="K29" s="82" t="n">
        <x:v>95</x:v>
      </x:c>
      <x:c r="L29" s="82" t="n">
        <x:v>85</x:v>
      </x:c>
      <x:c r="M29" s="82" t="n">
        <x:v>85</x:v>
      </x:c>
      <x:c r="N29" s="82" t="n">
        <x:v>65</x:v>
      </x:c>
      <x:c r="O29" s="82" t="n">
        <x:v>65</x:v>
      </x:c>
      <x:c r="P29" s="82" t="n">
        <x:v>35</x:v>
      </x:c>
      <x:c r="Q29" s="143" t="n">
        <x:f>MAX(L29,N29)*Metodologia!$B$16</x:f>
        <x:v>110.5</x:v>
      </x:c>
      <x:c r="R29" s="143" t="n">
        <x:f>MIN(L29,N29)*Metodologia!$B$16</x:f>
        <x:v>84.5</x:v>
      </x:c>
      <x:c r="S29" s="143" t="n">
        <x:f>SQRT(K29*AVERAGE(M29,O29)*Metodologia!$B$16)</x:f>
        <x:v>96.24188277460078</x:v>
      </x:c>
      <x:c r="T29" s="82" t="str">
        <x:v>Sim</x:v>
      </x:c>
      <x:c r="U29" s="82" t="str">
        <x:v>Rankeado</x:v>
      </x:c>
      <x:c r="V29" s="82" t="str">
        <x:v>Perfil físico; melhor atributo ofensivo 85, ofensiva secundária 65, robustez relativa 62% e Speed 35. O índice privilegia dano de hunt, sem ignorar sobrevivência.</x:v>
      </x:c>
      <x:c r="W29" s="82" t="str">
        <x:v>Fica atrás de Tentacruel principalmente por velocidade 65.0% menor e total de stats 16.5% menor.</x:v>
      </x:c>
      <x:c r="X29" s="82" t="str">
        <x:v>Fica à frente de Krabby porque possui robustez sustentada 103.2% maior e ofensiva secundária 160.0% maior.</x:v>
      </x:c>
      <x:c r="Y29" s="154" t="str">
        <x:v>https://poke.idleworld.online/pokepedia/pokemon/quagsire</x:v>
      </x:c>
    </x:row>
    <x:row r="30" ht="48" customHeight="1">
      <x:c r="A30" s="82" t="n">
        <x:f>IF(U30&lt;&gt;"Rankeado","",COUNTIFS($U$5:$U$61,"Rankeado",$I$5:$I$61,"&gt;"&amp;I30)+COUNTIFS($U$5:U30,"Rankeado",$I$5:I30,I30))</x:f>
        <x:v>26</x:v>
      </x:c>
      <x:c r="B30" s="82" t="n">
        <x:f>COUNTIF($I$5:$I$61,"&gt;"&amp;I30)+COUNTIF($I$5:I30,I30)</x:f>
        <x:v>28</x:v>
      </x:c>
      <x:c r="C30" s="82" t="str">
        <x:f>IF(I30&gt;=80,"S+",IF(I30&gt;=72,"S",IF(I30&gt;=65,"A",IF(I30&gt;=58,"B",IF(I30&gt;=50,"C",IF(I30&gt;=42,"D","E"))))))</x:f>
        <x:v>C</x:v>
      </x:c>
      <x:c r="D30" s="82" t="str">
        <x:f>IF(AND(U30="Rankeado",A30&lt;=6),"Sim","Não")</x:f>
        <x:v>Não</x:v>
      </x:c>
      <x:c r="E30" s="82" t="n">
        <x:v>98</x:v>
      </x:c>
      <x:c r="F30" s="80" t="str">
        <x:v>Krabby</x:v>
      </x:c>
      <x:c r="G30" s="82" t="str">
        <x:v>Água</x:v>
      </x:c>
      <x:c r="H30" s="82" t="str">
        <x:v>Físico</x:v>
      </x:c>
      <x:c r="I30" s="142" t="n">
        <x:f>ROUND(100*(Metodologia!$B$17*(Q30/Metodologia!$B$22)+Metodologia!$B$18*(R30/Metodologia!$B$23)+Metodologia!$B$19*(S30/Metodologia!$B$24)+Metodologia!$B$20*(P30/Metodologia!$B$25)+Metodologia!$B$21*(J30/Metodologia!$B$26)),2)</x:f>
        <x:v>53.49</x:v>
      </x:c>
      <x:c r="J30" s="82" t="n">
        <x:f>SUM(K30:P30)</x:f>
        <x:v>325</x:v>
      </x:c>
      <x:c r="K30" s="82" t="n">
        <x:v>30</x:v>
      </x:c>
      <x:c r="L30" s="82" t="n">
        <x:v>105</x:v>
      </x:c>
      <x:c r="M30" s="82" t="n">
        <x:v>90</x:v>
      </x:c>
      <x:c r="N30" s="82" t="n">
        <x:v>25</x:v>
      </x:c>
      <x:c r="O30" s="82" t="n">
        <x:v>25</x:v>
      </x:c>
      <x:c r="P30" s="82" t="n">
        <x:v>50</x:v>
      </x:c>
      <x:c r="Q30" s="143" t="n">
        <x:f>MAX(L30,N30)*Metodologia!$B$16</x:f>
        <x:v>136.5</x:v>
      </x:c>
      <x:c r="R30" s="143" t="n">
        <x:f>MIN(L30,N30)*Metodologia!$B$16</x:f>
        <x:v>32.5</x:v>
      </x:c>
      <x:c r="S30" s="143" t="n">
        <x:f>SQRT(K30*AVERAGE(M30,O30)*Metodologia!$B$16)</x:f>
        <x:v>47.3550419702063</x:v>
      </x:c>
      <x:c r="T30" s="82" t="str">
        <x:v>Sim</x:v>
      </x:c>
      <x:c r="U30" s="82" t="str">
        <x:v>Rankeado</x:v>
      </x:c>
      <x:c r="V30" s="82" t="str">
        <x:v>Perfil físico; melhor atributo ofensivo 105, ofensiva secundária 25, robustez relativa 31% e Speed 50. O índice privilegia dano de hunt, sem ignorar sobrevivência.</x:v>
      </x:c>
      <x:c r="W30" s="82" t="str">
        <x:v>Fica atrás de Quagsire principalmente por robustez sustentada 50.8% menor e ofensiva secundária 61.5% menor.</x:v>
      </x:c>
      <x:c r="X30" s="82" t="str">
        <x:v>Fica à frente de Mantine porque possui teto ofensivo 31.2% maior.</x:v>
      </x:c>
      <x:c r="Y30" s="154" t="str">
        <x:v>https://poke.idleworld.online/pokepedia/pokemon/krabby</x:v>
      </x:c>
    </x:row>
    <x:row r="31" ht="48" customHeight="1">
      <x:c r="A31" s="82" t="n">
        <x:f>IF(U31&lt;&gt;"Rankeado","",COUNTIFS($U$5:$U$61,"Rankeado",$I$5:$I$61,"&gt;"&amp;I31)+COUNTIFS($U$5:U31,"Rankeado",$I$5:I31,I31))</x:f>
        <x:v>27</x:v>
      </x:c>
      <x:c r="B31" s="82" t="n">
        <x:f>COUNTIF($I$5:$I$61,"&gt;"&amp;I31)+COUNTIF($I$5:I31,I31)</x:f>
        <x:v>29</x:v>
      </x:c>
      <x:c r="C31" s="82" t="str">
        <x:f>IF(I31&gt;=80,"S+",IF(I31&gt;=72,"S",IF(I31&gt;=65,"A",IF(I31&gt;=58,"B",IF(I31&gt;=50,"C",IF(I31&gt;=42,"D","E"))))))</x:f>
        <x:v>C</x:v>
      </x:c>
      <x:c r="D31" s="82" t="str">
        <x:f>IF(AND(U31="Rankeado",A31&lt;=6),"Sim","Não")</x:f>
        <x:v>Não</x:v>
      </x:c>
      <x:c r="E31" s="82" t="n">
        <x:v>226</x:v>
      </x:c>
      <x:c r="F31" s="80" t="str">
        <x:v>Mantine</x:v>
      </x:c>
      <x:c r="G31" s="82" t="str">
        <x:v>Água / Voador</x:v>
      </x:c>
      <x:c r="H31" s="82" t="str">
        <x:v>Especial</x:v>
      </x:c>
      <x:c r="I31" s="142" t="n">
        <x:f>ROUND(100*(Metodologia!$B$17*(Q31/Metodologia!$B$22)+Metodologia!$B$18*(R31/Metodologia!$B$23)+Metodologia!$B$19*(S31/Metodologia!$B$24)+Metodologia!$B$20*(P31/Metodologia!$B$25)+Metodologia!$B$21*(J31/Metodologia!$B$26)),2)</x:f>
        <x:v>53.46</x:v>
      </x:c>
      <x:c r="J31" s="82" t="n">
        <x:f>SUM(K31:P31)</x:f>
        <x:v>485</x:v>
      </x:c>
      <x:c r="K31" s="82" t="n">
        <x:v>85</x:v>
      </x:c>
      <x:c r="L31" s="82" t="n">
        <x:v>40</x:v>
      </x:c>
      <x:c r="M31" s="82" t="n">
        <x:v>70</x:v>
      </x:c>
      <x:c r="N31" s="82" t="n">
        <x:v>80</x:v>
      </x:c>
      <x:c r="O31" s="82" t="n">
        <x:v>140</x:v>
      </x:c>
      <x:c r="P31" s="82" t="n">
        <x:v>70</x:v>
      </x:c>
      <x:c r="Q31" s="143" t="n">
        <x:f>MAX(L31,N31)*Metodologia!$B$16</x:f>
        <x:v>104</x:v>
      </x:c>
      <x:c r="R31" s="143" t="n">
        <x:f>MIN(L31,N31)*Metodologia!$B$16</x:f>
        <x:v>52</x:v>
      </x:c>
      <x:c r="S31" s="143" t="n">
        <x:f>SQRT(K31*AVERAGE(M31,O31)*Metodologia!$B$16)</x:f>
        <x:v>107.71490147607247</x:v>
      </x:c>
      <x:c r="T31" s="82" t="str">
        <x:v>Sim</x:v>
      </x:c>
      <x:c r="U31" s="82" t="str">
        <x:v>Rankeado</x:v>
      </x:c>
      <x:c r="V31" s="82" t="str">
        <x:v>Perfil especial; melhor atributo ofensivo 80, ofensiva secundária 40, robustez relativa 69% e Speed 70. O índice privilegia dano de hunt, sem ignorar sobrevivência.</x:v>
      </x:c>
      <x:c r="W31" s="82" t="str">
        <x:v>Fica atrás de Krabby principalmente por teto ofensivo 23.8% menor.</x:v>
      </x:c>
      <x:c r="X31" s="82" t="str">
        <x:v>Fica à frente de Lanturn porque possui teto ofensivo 5.3% maior e robustez sustentada 3.2% maior.</x:v>
      </x:c>
      <x:c r="Y31" s="154" t="str">
        <x:v>https://poke.idleworld.online/pokepedia/pokemon/mantine</x:v>
      </x:c>
    </x:row>
    <x:row r="32" ht="48" customHeight="1">
      <x:c r="A32" s="82" t="n">
        <x:f>IF(U32&lt;&gt;"Rankeado","",COUNTIFS($U$5:$U$61,"Rankeado",$I$5:$I$61,"&gt;"&amp;I32)+COUNTIFS($U$5:U32,"Rankeado",$I$5:I32,I32))</x:f>
        <x:v>28</x:v>
      </x:c>
      <x:c r="B32" s="82" t="n">
        <x:f>COUNTIF($I$5:$I$61,"&gt;"&amp;I32)+COUNTIF($I$5:I32,I32)</x:f>
        <x:v>30</x:v>
      </x:c>
      <x:c r="C32" s="82" t="str">
        <x:f>IF(I32&gt;=80,"S+",IF(I32&gt;=72,"S",IF(I32&gt;=65,"A",IF(I32&gt;=58,"B",IF(I32&gt;=50,"C",IF(I32&gt;=42,"D","E"))))))</x:f>
        <x:v>C</x:v>
      </x:c>
      <x:c r="D32" s="82" t="str">
        <x:f>IF(AND(U32="Rankeado",A32&lt;=6),"Sim","Não")</x:f>
        <x:v>Não</x:v>
      </x:c>
      <x:c r="E32" s="82" t="n">
        <x:v>171</x:v>
      </x:c>
      <x:c r="F32" s="80" t="str">
        <x:v>Lanturn</x:v>
      </x:c>
      <x:c r="G32" s="82" t="str">
        <x:v>Água / Elétrico</x:v>
      </x:c>
      <x:c r="H32" s="82" t="str">
        <x:v>Especial</x:v>
      </x:c>
      <x:c r="I32" s="142" t="n">
        <x:f>ROUND(100*(Metodologia!$B$17*(Q32/Metodologia!$B$22)+Metodologia!$B$18*(R32/Metodologia!$B$23)+Metodologia!$B$19*(S32/Metodologia!$B$24)+Metodologia!$B$20*(P32/Metodologia!$B$25)+Metodologia!$B$21*(J32/Metodologia!$B$26)),2)</x:f>
        <x:v>52.83</x:v>
      </x:c>
      <x:c r="J32" s="82" t="n">
        <x:f>SUM(K32:P32)</x:f>
        <x:v>460</x:v>
      </x:c>
      <x:c r="K32" s="82" t="n">
        <x:v>125</x:v>
      </x:c>
      <x:c r="L32" s="82" t="n">
        <x:v>58</x:v>
      </x:c>
      <x:c r="M32" s="82" t="n">
        <x:v>58</x:v>
      </x:c>
      <x:c r="N32" s="82" t="n">
        <x:v>76</x:v>
      </x:c>
      <x:c r="O32" s="82" t="n">
        <x:v>76</x:v>
      </x:c>
      <x:c r="P32" s="82" t="n">
        <x:v>67</x:v>
      </x:c>
      <x:c r="Q32" s="143" t="n">
        <x:f>MAX(L32,N32)*Metodologia!$B$16</x:f>
        <x:v>98.8</x:v>
      </x:c>
      <x:c r="R32" s="143" t="n">
        <x:f>MIN(L32,N32)*Metodologia!$B$16</x:f>
        <x:v>75.4</x:v>
      </x:c>
      <x:c r="S32" s="143" t="n">
        <x:f>SQRT(K32*AVERAGE(M32,O32)*Metodologia!$B$16)</x:f>
        <x:v>104.34318377354603</x:v>
      </x:c>
      <x:c r="T32" s="82" t="str">
        <x:v>Sim</x:v>
      </x:c>
      <x:c r="U32" s="82" t="str">
        <x:v>Rankeado</x:v>
      </x:c>
      <x:c r="V32" s="82" t="str">
        <x:v>Perfil especial; melhor atributo ofensivo 76, ofensiva secundária 58, robustez relativa 67% e Speed 67. O índice privilegia dano de hunt, sem ignorar sobrevivência.</x:v>
      </x:c>
      <x:c r="W32" s="82" t="str">
        <x:v>Fica atrás de Mantine principalmente por teto ofensivo 5.0% menor e robustez sustentada 3.1% menor.</x:v>
      </x:c>
      <x:c r="X32" s="82" t="str">
        <x:v>Fica à frente de Dewgong porque possui teto ofensivo 8.6% maior e robustez sustentada 3.1% maior.</x:v>
      </x:c>
      <x:c r="Y32" s="154" t="str">
        <x:v>https://poke.idleworld.online/pokepedia/pokemon/lanturn</x:v>
      </x:c>
    </x:row>
    <x:row r="33" ht="48" customHeight="1">
      <x:c r="A33" s="82" t="n">
        <x:f>IF(U33&lt;&gt;"Rankeado","",COUNTIFS($U$5:$U$61,"Rankeado",$I$5:$I$61,"&gt;"&amp;I33)+COUNTIFS($U$5:U33,"Rankeado",$I$5:I33,I33))</x:f>
        <x:v>29</x:v>
      </x:c>
      <x:c r="B33" s="82" t="n">
        <x:f>COUNTIF($I$5:$I$61,"&gt;"&amp;I33)+COUNTIF($I$5:I33,I33)</x:f>
        <x:v>31</x:v>
      </x:c>
      <x:c r="C33" s="82" t="str">
        <x:f>IF(I33&gt;=80,"S+",IF(I33&gt;=72,"S",IF(I33&gt;=65,"A",IF(I33&gt;=58,"B",IF(I33&gt;=50,"C",IF(I33&gt;=42,"D","E"))))))</x:f>
        <x:v>C</x:v>
      </x:c>
      <x:c r="D33" s="82" t="str">
        <x:f>IF(AND(U33="Rankeado",A33&lt;=6),"Sim","Não")</x:f>
        <x:v>Não</x:v>
      </x:c>
      <x:c r="E33" s="82" t="n">
        <x:v>87</x:v>
      </x:c>
      <x:c r="F33" s="80" t="str">
        <x:v>Dewgong</x:v>
      </x:c>
      <x:c r="G33" s="82" t="str">
        <x:v>Água / Gelo</x:v>
      </x:c>
      <x:c r="H33" s="82" t="str">
        <x:v>Misto</x:v>
      </x:c>
      <x:c r="I33" s="142" t="n">
        <x:f>ROUND(100*(Metodologia!$B$17*(Q33/Metodologia!$B$22)+Metodologia!$B$18*(R33/Metodologia!$B$23)+Metodologia!$B$19*(S33/Metodologia!$B$24)+Metodologia!$B$20*(P33/Metodologia!$B$25)+Metodologia!$B$21*(J33/Metodologia!$B$26)),2)</x:f>
        <x:v>51.59</x:v>
      </x:c>
      <x:c r="J33" s="82" t="n">
        <x:f>SUM(K33:P33)</x:f>
        <x:v>475</x:v>
      </x:c>
      <x:c r="K33" s="82" t="n">
        <x:v>90</x:v>
      </x:c>
      <x:c r="L33" s="82" t="n">
        <x:v>70</x:v>
      </x:c>
      <x:c r="M33" s="82" t="n">
        <x:v>80</x:v>
      </x:c>
      <x:c r="N33" s="82" t="n">
        <x:v>70</x:v>
      </x:c>
      <x:c r="O33" s="82" t="n">
        <x:v>95</x:v>
      </x:c>
      <x:c r="P33" s="82" t="n">
        <x:v>70</x:v>
      </x:c>
      <x:c r="Q33" s="143" t="n">
        <x:f>MAX(L33,N33)*Metodologia!$B$16</x:f>
        <x:v>91</x:v>
      </x:c>
      <x:c r="R33" s="143" t="n">
        <x:f>MIN(L33,N33)*Metodologia!$B$16</x:f>
        <x:v>91</x:v>
      </x:c>
      <x:c r="S33" s="143" t="n">
        <x:f>SQRT(K33*AVERAGE(M33,O33)*Metodologia!$B$16)</x:f>
        <x:v>101.18053172424031</x:v>
      </x:c>
      <x:c r="T33" s="82" t="str">
        <x:v>Sim</x:v>
      </x:c>
      <x:c r="U33" s="82" t="str">
        <x:v>Rankeado</x:v>
      </x:c>
      <x:c r="V33" s="82" t="str">
        <x:v>Perfil misto; melhor atributo ofensivo 70, ofensiva secundária 70, robustez relativa 65% e Speed 70. O índice privilegia dano de hunt, sem ignorar sobrevivência.</x:v>
      </x:c>
      <x:c r="W33" s="82" t="str">
        <x:v>Fica atrás de Lanturn principalmente por teto ofensivo 7.9% menor e robustez sustentada 3.0% menor.</x:v>
      </x:c>
      <x:c r="X33" s="82" t="str">
        <x:v>Fica à frente de Croconaw porque possui robustez sustentada 30.2% maior e ofensiva secundária 18.6% maior.</x:v>
      </x:c>
      <x:c r="Y33" s="154" t="str">
        <x:v>https://poke.idleworld.online/pokepedia/pokemon/dewgong</x:v>
      </x:c>
    </x:row>
    <x:row r="34" ht="48" customHeight="1">
      <x:c r="A34" s="82" t="n">
        <x:f>IF(U34&lt;&gt;"Rankeado","",COUNTIFS($U$5:$U$61,"Rankeado",$I$5:$I$61,"&gt;"&amp;I34)+COUNTIFS($U$5:U34,"Rankeado",$I$5:I34,I34))</x:f>
        <x:v>30</x:v>
      </x:c>
      <x:c r="B34" s="82" t="n">
        <x:f>COUNTIF($I$5:$I$61,"&gt;"&amp;I34)+COUNTIF($I$5:I34,I34)</x:f>
        <x:v>32</x:v>
      </x:c>
      <x:c r="C34" s="82" t="str">
        <x:f>IF(I34&gt;=80,"S+",IF(I34&gt;=72,"S",IF(I34&gt;=65,"A",IF(I34&gt;=58,"B",IF(I34&gt;=50,"C",IF(I34&gt;=42,"D","E"))))))</x:f>
        <x:v>C</x:v>
      </x:c>
      <x:c r="D34" s="82" t="str">
        <x:f>IF(AND(U34="Rankeado",A34&lt;=6),"Sim","Não")</x:f>
        <x:v>Não</x:v>
      </x:c>
      <x:c r="E34" s="82" t="n">
        <x:v>159</x:v>
      </x:c>
      <x:c r="F34" s="80" t="str">
        <x:v>Croconaw</x:v>
      </x:c>
      <x:c r="G34" s="82" t="str">
        <x:v>Água</x:v>
      </x:c>
      <x:c r="H34" s="82" t="str">
        <x:v>Físico</x:v>
      </x:c>
      <x:c r="I34" s="142" t="n">
        <x:f>ROUND(100*(Metodologia!$B$17*(Q34/Metodologia!$B$22)+Metodologia!$B$18*(R34/Metodologia!$B$23)+Metodologia!$B$19*(S34/Metodologia!$B$24)+Metodologia!$B$20*(P34/Metodologia!$B$25)+Metodologia!$B$21*(J34/Metodologia!$B$26)),2)</x:f>
        <x:v>50.9</x:v>
      </x:c>
      <x:c r="J34" s="82" t="n">
        <x:f>SUM(K34:P34)</x:f>
        <x:v>405</x:v>
      </x:c>
      <x:c r="K34" s="82" t="n">
        <x:v>65</x:v>
      </x:c>
      <x:c r="L34" s="82" t="n">
        <x:v>80</x:v>
      </x:c>
      <x:c r="M34" s="82" t="n">
        <x:v>80</x:v>
      </x:c>
      <x:c r="N34" s="82" t="n">
        <x:v>59</x:v>
      </x:c>
      <x:c r="O34" s="82" t="n">
        <x:v>63</x:v>
      </x:c>
      <x:c r="P34" s="82" t="n">
        <x:v>58</x:v>
      </x:c>
      <x:c r="Q34" s="143" t="n">
        <x:f>MAX(L34,N34)*Metodologia!$B$16</x:f>
        <x:v>104</x:v>
      </x:c>
      <x:c r="R34" s="143" t="n">
        <x:f>MIN(L34,N34)*Metodologia!$B$16</x:f>
        <x:v>76.7</x:v>
      </x:c>
      <x:c r="S34" s="143" t="n">
        <x:f>SQRT(K34*AVERAGE(M34,O34)*Metodologia!$B$16)</x:f>
        <x:v>77.72869483015909</x:v>
      </x:c>
      <x:c r="T34" s="82" t="str">
        <x:v>Sim</x:v>
      </x:c>
      <x:c r="U34" s="82" t="str">
        <x:v>Rankeado</x:v>
      </x:c>
      <x:c r="V34" s="82" t="str">
        <x:v>Perfil físico; melhor atributo ofensivo 80, ofensiva secundária 59, robustez relativa 50% e Speed 58. O índice privilegia dano de hunt, sem ignorar sobrevivência.</x:v>
      </x:c>
      <x:c r="W34" s="82" t="str">
        <x:v>Fica atrás de Dewgong principalmente por robustez sustentada 23.2% menor e ofensiva secundária 15.7% menor.</x:v>
      </x:c>
      <x:c r="X34" s="82" t="str">
        <x:v>Fica à frente de Omanyte porque possui robustez sustentada 30.9% maior e ofensiva secundária 47.5% maior.</x:v>
      </x:c>
      <x:c r="Y34" s="154" t="str">
        <x:v>https://poke.idleworld.online/pokepedia/pokemon/croconaw</x:v>
      </x:c>
    </x:row>
    <x:row r="35" ht="48" customHeight="1">
      <x:c r="A35" s="82" t="n">
        <x:f>IF(U35&lt;&gt;"Rankeado","",COUNTIFS($U$5:$U$61,"Rankeado",$I$5:$I$61,"&gt;"&amp;I35)+COUNTIFS($U$5:U35,"Rankeado",$I$5:I35,I35))</x:f>
        <x:v>31</x:v>
      </x:c>
      <x:c r="B35" s="82" t="n">
        <x:f>COUNTIF($I$5:$I$61,"&gt;"&amp;I35)+COUNTIF($I$5:I35,I35)</x:f>
        <x:v>33</x:v>
      </x:c>
      <x:c r="C35" s="82" t="str">
        <x:f>IF(I35&gt;=80,"S+",IF(I35&gt;=72,"S",IF(I35&gt;=65,"A",IF(I35&gt;=58,"B",IF(I35&gt;=50,"C",IF(I35&gt;=42,"D","E"))))))</x:f>
        <x:v>D</x:v>
      </x:c>
      <x:c r="D35" s="82" t="str">
        <x:f>IF(AND(U35="Rankeado",A35&lt;=6),"Sim","Não")</x:f>
        <x:v>Não</x:v>
      </x:c>
      <x:c r="E35" s="82" t="n">
        <x:v>138</x:v>
      </x:c>
      <x:c r="F35" s="80" t="str">
        <x:v>Omanyte</x:v>
      </x:c>
      <x:c r="G35" s="82" t="str">
        <x:v>Pedra / Água</x:v>
      </x:c>
      <x:c r="H35" s="82" t="str">
        <x:v>Especial</x:v>
      </x:c>
      <x:c r="I35" s="142" t="n">
        <x:f>ROUND(100*(Metodologia!$B$17*(Q35/Metodologia!$B$22)+Metodologia!$B$18*(R35/Metodologia!$B$23)+Metodologia!$B$19*(S35/Metodologia!$B$24)+Metodologia!$B$20*(P35/Metodologia!$B$25)+Metodologia!$B$21*(J35/Metodologia!$B$26)),2)</x:f>
        <x:v>49.39</x:v>
      </x:c>
      <x:c r="J35" s="82" t="n">
        <x:f>SUM(K35:P35)</x:f>
        <x:v>355</x:v>
      </x:c>
      <x:c r="K35" s="82" t="n">
        <x:v>35</x:v>
      </x:c>
      <x:c r="L35" s="82" t="n">
        <x:v>40</x:v>
      </x:c>
      <x:c r="M35" s="82" t="n">
        <x:v>100</x:v>
      </x:c>
      <x:c r="N35" s="82" t="n">
        <x:v>90</x:v>
      </x:c>
      <x:c r="O35" s="82" t="n">
        <x:v>55</x:v>
      </x:c>
      <x:c r="P35" s="82" t="n">
        <x:v>35</x:v>
      </x:c>
      <x:c r="Q35" s="143" t="n">
        <x:f>MAX(L35,N35)*Metodologia!$B$16</x:f>
        <x:v>117</x:v>
      </x:c>
      <x:c r="R35" s="143" t="n">
        <x:f>MIN(L35,N35)*Metodologia!$B$16</x:f>
        <x:v>52</x:v>
      </x:c>
      <x:c r="S35" s="143" t="n">
        <x:f>SQRT(K35*AVERAGE(M35,O35)*Metodologia!$B$16)</x:f>
        <x:v>59.38223640113262</x:v>
      </x:c>
      <x:c r="T35" s="82" t="str">
        <x:v>Sim</x:v>
      </x:c>
      <x:c r="U35" s="82" t="str">
        <x:v>Rankeado</x:v>
      </x:c>
      <x:c r="V35" s="82" t="str">
        <x:v>Perfil especial; melhor atributo ofensivo 90, ofensiva secundária 40, robustez relativa 38% e Speed 35. O índice privilegia dano de hunt, sem ignorar sobrevivência.</x:v>
      </x:c>
      <x:c r="W35" s="82" t="str">
        <x:v>Fica atrás de Croconaw principalmente por robustez sustentada 23.6% menor e ofensiva secundária 32.2% menor.</x:v>
      </x:c>
      <x:c r="X35" s="82" t="str">
        <x:v>Fica à frente de Kabuto porque possui teto ofensivo 12.5% maior e robustez sustentada 15.7% maior.</x:v>
      </x:c>
      <x:c r="Y35" s="154" t="str">
        <x:v>https://poke.idleworld.online/pokepedia/pokemon/omanyte</x:v>
      </x:c>
    </x:row>
    <x:row r="36" ht="48" customHeight="1">
      <x:c r="A36" s="82" t="n">
        <x:f>IF(U36&lt;&gt;"Rankeado","",COUNTIFS($U$5:$U$61,"Rankeado",$I$5:$I$61,"&gt;"&amp;I36)+COUNTIFS($U$5:U36,"Rankeado",$I$5:I36,I36))</x:f>
        <x:v>32</x:v>
      </x:c>
      <x:c r="B36" s="82" t="n">
        <x:f>COUNTIF($I$5:$I$61,"&gt;"&amp;I36)+COUNTIF($I$5:I36,I36)</x:f>
        <x:v>34</x:v>
      </x:c>
      <x:c r="C36" s="82" t="str">
        <x:f>IF(I36&gt;=80,"S+",IF(I36&gt;=72,"S",IF(I36&gt;=65,"A",IF(I36&gt;=58,"B",IF(I36&gt;=50,"C",IF(I36&gt;=42,"D","E"))))))</x:f>
        <x:v>D</x:v>
      </x:c>
      <x:c r="D36" s="82" t="str">
        <x:f>IF(AND(U36="Rankeado",A36&lt;=6),"Sim","Não")</x:f>
        <x:v>Não</x:v>
      </x:c>
      <x:c r="E36" s="82" t="n">
        <x:v>140</x:v>
      </x:c>
      <x:c r="F36" s="80" t="str">
        <x:v>Kabuto</x:v>
      </x:c>
      <x:c r="G36" s="82" t="str">
        <x:v>Pedra / Água</x:v>
      </x:c>
      <x:c r="H36" s="82" t="str">
        <x:v>Físico</x:v>
      </x:c>
      <x:c r="I36" s="142" t="n">
        <x:f>ROUND(100*(Metodologia!$B$17*(Q36/Metodologia!$B$22)+Metodologia!$B$18*(R36/Metodologia!$B$23)+Metodologia!$B$19*(S36/Metodologia!$B$24)+Metodologia!$B$20*(P36/Metodologia!$B$25)+Metodologia!$B$21*(J36/Metodologia!$B$26)),2)</x:f>
        <x:v>47.41</x:v>
      </x:c>
      <x:c r="J36" s="82" t="n">
        <x:f>SUM(K36:P36)</x:f>
        <x:v>355</x:v>
      </x:c>
      <x:c r="K36" s="82" t="n">
        <x:v>30</x:v>
      </x:c>
      <x:c r="L36" s="82" t="n">
        <x:v>80</x:v>
      </x:c>
      <x:c r="M36" s="82" t="n">
        <x:v>90</x:v>
      </x:c>
      <x:c r="N36" s="82" t="n">
        <x:v>55</x:v>
      </x:c>
      <x:c r="O36" s="82" t="n">
        <x:v>45</x:v>
      </x:c>
      <x:c r="P36" s="82" t="n">
        <x:v>55</x:v>
      </x:c>
      <x:c r="Q36" s="143" t="n">
        <x:f>MAX(L36,N36)*Metodologia!$B$16</x:f>
        <x:v>104</x:v>
      </x:c>
      <x:c r="R36" s="143" t="n">
        <x:f>MIN(L36,N36)*Metodologia!$B$16</x:f>
        <x:v>71.5</x:v>
      </x:c>
      <x:c r="S36" s="143" t="n">
        <x:f>SQRT(K36*AVERAGE(M36,O36)*Metodologia!$B$16)</x:f>
        <x:v>51.30789412946121</x:v>
      </x:c>
      <x:c r="T36" s="82" t="str">
        <x:v>Sim</x:v>
      </x:c>
      <x:c r="U36" s="82" t="str">
        <x:v>Rankeado</x:v>
      </x:c>
      <x:c r="V36" s="82" t="str">
        <x:v>Perfil físico; melhor atributo ofensivo 80, ofensiva secundária 55, robustez relativa 33% e Speed 55. O índice privilegia dano de hunt, sem ignorar sobrevivência.</x:v>
      </x:c>
      <x:c r="W36" s="82" t="str">
        <x:v>Fica atrás de Omanyte principalmente por teto ofensivo 11.1% menor e robustez sustentada 13.6% menor.</x:v>
      </x:c>
      <x:c r="X36" s="82" t="str">
        <x:v>Fica à frente de Smoochum porque possui ofensiva secundária 83.3% maior e total de stats 16.4% maior.</x:v>
      </x:c>
      <x:c r="Y36" s="154" t="str">
        <x:v>https://poke.idleworld.online/pokepedia/pokemon/kabuto</x:v>
      </x:c>
    </x:row>
    <x:row r="37" ht="48" customHeight="1">
      <x:c r="A37" s="82" t="n">
        <x:f>IF(U37&lt;&gt;"Rankeado","",COUNTIFS($U$5:$U$61,"Rankeado",$I$5:$I$61,"&gt;"&amp;I37)+COUNTIFS($U$5:U37,"Rankeado",$I$5:I37,I37))</x:f>
        <x:v>33</x:v>
      </x:c>
      <x:c r="B37" s="82" t="n">
        <x:f>COUNTIF($I$5:$I$61,"&gt;"&amp;I37)+COUNTIF($I$5:I37,I37)</x:f>
        <x:v>35</x:v>
      </x:c>
      <x:c r="C37" s="82" t="str">
        <x:f>IF(I37&gt;=80,"S+",IF(I37&gt;=72,"S",IF(I37&gt;=65,"A",IF(I37&gt;=58,"B",IF(I37&gt;=50,"C",IF(I37&gt;=42,"D","E"))))))</x:f>
        <x:v>D</x:v>
      </x:c>
      <x:c r="D37" s="82" t="str">
        <x:f>IF(AND(U37="Rankeado",A37&lt;=6),"Sim","Não")</x:f>
        <x:v>Não</x:v>
      </x:c>
      <x:c r="E37" s="82" t="n">
        <x:v>238</x:v>
      </x:c>
      <x:c r="F37" s="80" t="str">
        <x:v>Smoochum</x:v>
      </x:c>
      <x:c r="G37" s="82" t="str">
        <x:v>Gelo / Psíquico</x:v>
      </x:c>
      <x:c r="H37" s="82" t="str">
        <x:v>Especial</x:v>
      </x:c>
      <x:c r="I37" s="142" t="n">
        <x:f>ROUND(100*(Metodologia!$B$17*(Q37/Metodologia!$B$22)+Metodologia!$B$18*(R37/Metodologia!$B$23)+Metodologia!$B$19*(S37/Metodologia!$B$24)+Metodologia!$B$20*(P37/Metodologia!$B$25)+Metodologia!$B$21*(J37/Metodologia!$B$26)),2)</x:f>
        <x:v>47.1</x:v>
      </x:c>
      <x:c r="J37" s="82" t="n">
        <x:f>SUM(K37:P37)</x:f>
        <x:v>305</x:v>
      </x:c>
      <x:c r="K37" s="82" t="n">
        <x:v>45</x:v>
      </x:c>
      <x:c r="L37" s="82" t="n">
        <x:v>30</x:v>
      </x:c>
      <x:c r="M37" s="82" t="n">
        <x:v>15</x:v>
      </x:c>
      <x:c r="N37" s="82" t="n">
        <x:v>85</x:v>
      </x:c>
      <x:c r="O37" s="82" t="n">
        <x:v>65</x:v>
      </x:c>
      <x:c r="P37" s="82" t="n">
        <x:v>65</x:v>
      </x:c>
      <x:c r="Q37" s="143" t="n">
        <x:f>MAX(L37,N37)*Metodologia!$B$16</x:f>
        <x:v>110.5</x:v>
      </x:c>
      <x:c r="R37" s="143" t="n">
        <x:f>MIN(L37,N37)*Metodologia!$B$16</x:f>
        <x:v>39</x:v>
      </x:c>
      <x:c r="S37" s="143" t="n">
        <x:f>SQRT(K37*AVERAGE(M37,O37)*Metodologia!$B$16)</x:f>
        <x:v>48.373546489791295</x:v>
      </x:c>
      <x:c r="T37" s="82" t="str">
        <x:v>Sim</x:v>
      </x:c>
      <x:c r="U37" s="82" t="str">
        <x:v>Rankeado</x:v>
      </x:c>
      <x:c r="V37" s="82" t="str">
        <x:v>Perfil especial; melhor atributo ofensivo 85, ofensiva secundária 30, robustez relativa 31% e Speed 65. O índice privilegia dano de hunt, sem ignorar sobrevivência.</x:v>
      </x:c>
      <x:c r="W37" s="82" t="str">
        <x:v>Fica atrás de Kabuto principalmente por ofensiva secundária 45.5% menor e total de stats 14.1% menor.</x:v>
      </x:c>
      <x:c r="X37" s="82" t="str">
        <x:v>Fica à frente de Wartortle porque possui teto ofensivo 30.8% maior e velocidade 12.1% maior.</x:v>
      </x:c>
      <x:c r="Y37" s="154" t="str">
        <x:v>https://poke.idleworld.online/pokepedia/pokemon/smoochum</x:v>
      </x:c>
    </x:row>
    <x:row r="38" ht="48" customHeight="1">
      <x:c r="A38" s="82" t="n">
        <x:f>IF(U38&lt;&gt;"Rankeado","",COUNTIFS($U$5:$U$61,"Rankeado",$I$5:$I$61,"&gt;"&amp;I38)+COUNTIFS($U$5:U38,"Rankeado",$I$5:I38,I38))</x:f>
        <x:v>34</x:v>
      </x:c>
      <x:c r="B38" s="82" t="n">
        <x:f>COUNTIF($I$5:$I$61,"&gt;"&amp;I38)+COUNTIF($I$5:I38,I38)</x:f>
        <x:v>36</x:v>
      </x:c>
      <x:c r="C38" s="82" t="str">
        <x:f>IF(I38&gt;=80,"S+",IF(I38&gt;=72,"S",IF(I38&gt;=65,"A",IF(I38&gt;=58,"B",IF(I38&gt;=50,"C",IF(I38&gt;=42,"D","E"))))))</x:f>
        <x:v>D</x:v>
      </x:c>
      <x:c r="D38" s="82" t="str">
        <x:f>IF(AND(U38="Rankeado",A38&lt;=6),"Sim","Não")</x:f>
        <x:v>Não</x:v>
      </x:c>
      <x:c r="E38" s="82" t="n">
        <x:v>8</x:v>
      </x:c>
      <x:c r="F38" s="80" t="str">
        <x:v>Wartortle</x:v>
      </x:c>
      <x:c r="G38" s="82" t="str">
        <x:v>Água</x:v>
      </x:c>
      <x:c r="H38" s="82" t="str">
        <x:v>Misto</x:v>
      </x:c>
      <x:c r="I38" s="142" t="n">
        <x:f>ROUND(100*(Metodologia!$B$17*(Q38/Metodologia!$B$22)+Metodologia!$B$18*(R38/Metodologia!$B$23)+Metodologia!$B$19*(S38/Metodologia!$B$24)+Metodologia!$B$20*(P38/Metodologia!$B$25)+Metodologia!$B$21*(J38/Metodologia!$B$26)),2)</x:f>
        <x:v>45.48</x:v>
      </x:c>
      <x:c r="J38" s="82" t="n">
        <x:f>SUM(K38:P38)</x:f>
        <x:v>405</x:v>
      </x:c>
      <x:c r="K38" s="82" t="n">
        <x:v>59</x:v>
      </x:c>
      <x:c r="L38" s="82" t="n">
        <x:v>63</x:v>
      </x:c>
      <x:c r="M38" s="82" t="n">
        <x:v>80</x:v>
      </x:c>
      <x:c r="N38" s="82" t="n">
        <x:v>65</x:v>
      </x:c>
      <x:c r="O38" s="82" t="n">
        <x:v>80</x:v>
      </x:c>
      <x:c r="P38" s="82" t="n">
        <x:v>58</x:v>
      </x:c>
      <x:c r="Q38" s="143" t="n">
        <x:f>MAX(L38,N38)*Metodologia!$B$16</x:f>
        <x:v>84.5</x:v>
      </x:c>
      <x:c r="R38" s="143" t="n">
        <x:f>MIN(L38,N38)*Metodologia!$B$16</x:f>
        <x:v>81.9</x:v>
      </x:c>
      <x:c r="S38" s="143" t="n">
        <x:f>SQRT(K38*AVERAGE(M38,O38)*Metodologia!$B$16)</x:f>
        <x:v>78.33262411026456</x:v>
      </x:c>
      <x:c r="T38" s="82" t="str">
        <x:v>Sim</x:v>
      </x:c>
      <x:c r="U38" s="82" t="str">
        <x:v>Rankeado</x:v>
      </x:c>
      <x:c r="V38" s="82" t="str">
        <x:v>Perfil misto; melhor atributo ofensivo 65, ofensiva secundária 63, robustez relativa 51% e Speed 58. O índice privilegia dano de hunt, sem ignorar sobrevivência.</x:v>
      </x:c>
      <x:c r="W38" s="82" t="str">
        <x:v>Fica atrás de Smoochum principalmente por teto ofensivo 23.5% menor e velocidade 10.8% menor.</x:v>
      </x:c>
      <x:c r="X38" s="82" t="str">
        <x:v>Fica à frente de Poliwhirl porque possui ofensiva secundária 26.0% maior e robustez sustentada 12.4% maior.</x:v>
      </x:c>
      <x:c r="Y38" s="154" t="str">
        <x:v>https://poke.idleworld.online/pokepedia/pokemon/wartortle</x:v>
      </x:c>
    </x:row>
    <x:row r="39" ht="48" customHeight="1">
      <x:c r="A39" s="82" t="n">
        <x:f>IF(U39&lt;&gt;"Rankeado","",COUNTIFS($U$5:$U$61,"Rankeado",$I$5:$I$61,"&gt;"&amp;I39)+COUNTIFS($U$5:U39,"Rankeado",$I$5:I39,I39))</x:f>
        <x:v>35</x:v>
      </x:c>
      <x:c r="B39" s="82" t="n">
        <x:f>COUNTIF($I$5:$I$61,"&gt;"&amp;I39)+COUNTIF($I$5:I39,I39)</x:f>
        <x:v>37</x:v>
      </x:c>
      <x:c r="C39" s="82" t="str">
        <x:f>IF(I39&gt;=80,"S+",IF(I39&gt;=72,"S",IF(I39&gt;=65,"A",IF(I39&gt;=58,"B",IF(I39&gt;=50,"C",IF(I39&gt;=42,"D","E"))))))</x:f>
        <x:v>D</x:v>
      </x:c>
      <x:c r="D39" s="82" t="str">
        <x:f>IF(AND(U39="Rankeado",A39&lt;=6),"Sim","Não")</x:f>
        <x:v>Não</x:v>
      </x:c>
      <x:c r="E39" s="82" t="n">
        <x:v>61</x:v>
      </x:c>
      <x:c r="F39" s="80" t="str">
        <x:v>Poliwhirl</x:v>
      </x:c>
      <x:c r="G39" s="82" t="str">
        <x:v>Água</x:v>
      </x:c>
      <x:c r="H39" s="82" t="str">
        <x:v>Físico</x:v>
      </x:c>
      <x:c r="I39" s="142" t="n">
        <x:f>ROUND(100*(Metodologia!$B$17*(Q39/Metodologia!$B$22)+Metodologia!$B$18*(R39/Metodologia!$B$23)+Metodologia!$B$19*(S39/Metodologia!$B$24)+Metodologia!$B$20*(P39/Metodologia!$B$25)+Metodologia!$B$21*(J39/Metodologia!$B$26)),2)</x:f>
        <x:v>45.45</x:v>
      </x:c>
      <x:c r="J39" s="82" t="n">
        <x:f>SUM(K39:P39)</x:f>
        <x:v>385</x:v>
      </x:c>
      <x:c r="K39" s="82" t="n">
        <x:v>65</x:v>
      </x:c>
      <x:c r="L39" s="82" t="n">
        <x:v>65</x:v>
      </x:c>
      <x:c r="M39" s="82" t="n">
        <x:v>65</x:v>
      </x:c>
      <x:c r="N39" s="82" t="n">
        <x:v>50</x:v>
      </x:c>
      <x:c r="O39" s="82" t="n">
        <x:v>50</x:v>
      </x:c>
      <x:c r="P39" s="82" t="n">
        <x:v>90</x:v>
      </x:c>
      <x:c r="Q39" s="143" t="n">
        <x:f>MAX(L39,N39)*Metodologia!$B$16</x:f>
        <x:v>84.5</x:v>
      </x:c>
      <x:c r="R39" s="143" t="n">
        <x:f>MIN(L39,N39)*Metodologia!$B$16</x:f>
        <x:v>65</x:v>
      </x:c>
      <x:c r="S39" s="143" t="n">
        <x:f>SQRT(K39*AVERAGE(M39,O39)*Metodologia!$B$16)</x:f>
        <x:v>69.70473441596346</x:v>
      </x:c>
      <x:c r="T39" s="82" t="str">
        <x:v>Sim</x:v>
      </x:c>
      <x:c r="U39" s="82" t="str">
        <x:v>Rankeado</x:v>
      </x:c>
      <x:c r="V39" s="82" t="str">
        <x:v>Perfil físico; melhor atributo ofensivo 65, ofensiva secundária 50, robustez relativa 45% e Speed 90. O índice privilegia dano de hunt, sem ignorar sobrevivência.</x:v>
      </x:c>
      <x:c r="W39" s="82" t="str">
        <x:v>Fica atrás de Wartortle principalmente por ofensiva secundária 20.6% menor e robustez sustentada 11.0% menor.</x:v>
      </x:c>
      <x:c r="X39" s="82" t="str">
        <x:v>Fica à frente de Corsola porque possui velocidade 157.1% maior.</x:v>
      </x:c>
      <x:c r="Y39" s="154" t="str">
        <x:v>https://poke.idleworld.online/pokepedia/pokemon/poliwhirl</x:v>
      </x:c>
    </x:row>
    <x:row r="40" ht="48" customHeight="1">
      <x:c r="A40" s="82" t="n">
        <x:f>IF(U40&lt;&gt;"Rankeado","",COUNTIFS($U$5:$U$61,"Rankeado",$I$5:$I$61,"&gt;"&amp;I40)+COUNTIFS($U$5:U40,"Rankeado",$I$5:I40,I40))</x:f>
        <x:v>36</x:v>
      </x:c>
      <x:c r="B40" s="82" t="n">
        <x:f>COUNTIF($I$5:$I$61,"&gt;"&amp;I40)+COUNTIF($I$5:I40,I40)</x:f>
        <x:v>38</x:v>
      </x:c>
      <x:c r="C40" s="82" t="str">
        <x:f>IF(I40&gt;=80,"S+",IF(I40&gt;=72,"S",IF(I40&gt;=65,"A",IF(I40&gt;=58,"B",IF(I40&gt;=50,"C",IF(I40&gt;=42,"D","E"))))))</x:f>
        <x:v>D</x:v>
      </x:c>
      <x:c r="D40" s="82" t="str">
        <x:f>IF(AND(U40="Rankeado",A40&lt;=6),"Sim","Não")</x:f>
        <x:v>Não</x:v>
      </x:c>
      <x:c r="E40" s="82" t="n">
        <x:v>222</x:v>
      </x:c>
      <x:c r="F40" s="80" t="str">
        <x:v>Corsola</x:v>
      </x:c>
      <x:c r="G40" s="82" t="str">
        <x:v>Água / Pedra</x:v>
      </x:c>
      <x:c r="H40" s="82" t="str">
        <x:v>Misto</x:v>
      </x:c>
      <x:c r="I40" s="142" t="n">
        <x:f>ROUND(100*(Metodologia!$B$17*(Q40/Metodologia!$B$22)+Metodologia!$B$18*(R40/Metodologia!$B$23)+Metodologia!$B$19*(S40/Metodologia!$B$24)+Metodologia!$B$20*(P40/Metodologia!$B$25)+Metodologia!$B$21*(J40/Metodologia!$B$26)),2)</x:f>
        <x:v>44.34</x:v>
      </x:c>
      <x:c r="J40" s="82" t="n">
        <x:f>SUM(K40:P40)</x:f>
        <x:v>410</x:v>
      </x:c>
      <x:c r="K40" s="82" t="n">
        <x:v>65</x:v>
      </x:c>
      <x:c r="L40" s="82" t="n">
        <x:v>55</x:v>
      </x:c>
      <x:c r="M40" s="82" t="n">
        <x:v>95</x:v>
      </x:c>
      <x:c r="N40" s="82" t="n">
        <x:v>65</x:v>
      </x:c>
      <x:c r="O40" s="82" t="n">
        <x:v>95</x:v>
      </x:c>
      <x:c r="P40" s="82" t="n">
        <x:v>35</x:v>
      </x:c>
      <x:c r="Q40" s="143" t="n">
        <x:f>MAX(L40,N40)*Metodologia!$B$16</x:f>
        <x:v>84.5</x:v>
      </x:c>
      <x:c r="R40" s="143" t="n">
        <x:f>MIN(L40,N40)*Metodologia!$B$16</x:f>
        <x:v>71.5</x:v>
      </x:c>
      <x:c r="S40" s="143" t="n">
        <x:f>SQRT(K40*AVERAGE(M40,O40)*Metodologia!$B$16)</x:f>
        <x:v>89.59631688858644</x:v>
      </x:c>
      <x:c r="T40" s="82" t="str">
        <x:v>Não</x:v>
      </x:c>
      <x:c r="U40" s="82" t="str">
        <x:v>Rankeado</x:v>
      </x:c>
      <x:c r="V40" s="82" t="str">
        <x:v>Perfil misto; melhor atributo ofensivo 65, ofensiva secundária 55, robustez relativa 58% e Speed 35. O índice privilegia dano de hunt, sem ignorar sobrevivência.</x:v>
      </x:c>
      <x:c r="W40" s="82" t="str">
        <x:v>Fica atrás de Poliwhirl principalmente por velocidade 61.1% menor.</x:v>
      </x:c>
      <x:c r="X40" s="82" t="str">
        <x:v>Fica à frente de Azumarill porque possui teto ofensivo 8.3% maior e ofensiva secundária 10.0% maior.</x:v>
      </x:c>
      <x:c r="Y40" s="154" t="str">
        <x:v>https://poke.idleworld.online/pokepedia/pokemon/corsola</x:v>
      </x:c>
    </x:row>
    <x:row r="41" ht="48" customHeight="1">
      <x:c r="A41" s="82" t="n">
        <x:f>IF(U41&lt;&gt;"Rankeado","",COUNTIFS($U$5:$U$61,"Rankeado",$I$5:$I$61,"&gt;"&amp;I41)+COUNTIFS($U$5:U41,"Rankeado",$I$5:I41,I41))</x:f>
        <x:v>37</x:v>
      </x:c>
      <x:c r="B41" s="82" t="n">
        <x:f>COUNTIF($I$5:$I$61,"&gt;"&amp;I41)+COUNTIF($I$5:I41,I41)</x:f>
        <x:v>39</x:v>
      </x:c>
      <x:c r="C41" s="82" t="str">
        <x:f>IF(I41&gt;=80,"S+",IF(I41&gt;=72,"S",IF(I41&gt;=65,"A",IF(I41&gt;=58,"B",IF(I41&gt;=50,"C",IF(I41&gt;=42,"D","E"))))))</x:f>
        <x:v>D</x:v>
      </x:c>
      <x:c r="D41" s="82" t="str">
        <x:f>IF(AND(U41="Rankeado",A41&lt;=6),"Sim","Não")</x:f>
        <x:v>Não</x:v>
      </x:c>
      <x:c r="E41" s="82" t="n">
        <x:v>184</x:v>
      </x:c>
      <x:c r="F41" s="80" t="str">
        <x:v>Azumarill</x:v>
      </x:c>
      <x:c r="G41" s="82" t="str">
        <x:v>Água / Fada</x:v>
      </x:c>
      <x:c r="H41" s="82" t="str">
        <x:v>Misto</x:v>
      </x:c>
      <x:c r="I41" s="142" t="n">
        <x:f>ROUND(100*(Metodologia!$B$17*(Q41/Metodologia!$B$22)+Metodologia!$B$18*(R41/Metodologia!$B$23)+Metodologia!$B$19*(S41/Metodologia!$B$24)+Metodologia!$B$20*(P41/Metodologia!$B$25)+Metodologia!$B$21*(J41/Metodologia!$B$26)),2)</x:f>
        <x:v>44.21</x:v>
      </x:c>
      <x:c r="J41" s="82" t="n">
        <x:f>SUM(K41:P41)</x:f>
        <x:v>420</x:v>
      </x:c>
      <x:c r="K41" s="82" t="n">
        <x:v>100</x:v>
      </x:c>
      <x:c r="L41" s="82" t="n">
        <x:v>50</x:v>
      </x:c>
      <x:c r="M41" s="82" t="n">
        <x:v>80</x:v>
      </x:c>
      <x:c r="N41" s="82" t="n">
        <x:v>60</x:v>
      </x:c>
      <x:c r="O41" s="82" t="n">
        <x:v>80</x:v>
      </x:c>
      <x:c r="P41" s="82" t="n">
        <x:v>50</x:v>
      </x:c>
      <x:c r="Q41" s="143" t="n">
        <x:f>MAX(L41,N41)*Metodologia!$B$16</x:f>
        <x:v>78</x:v>
      </x:c>
      <x:c r="R41" s="143" t="n">
        <x:f>MIN(L41,N41)*Metodologia!$B$16</x:f>
        <x:v>65</x:v>
      </x:c>
      <x:c r="S41" s="143" t="n">
        <x:f>SQRT(K41*AVERAGE(M41,O41)*Metodologia!$B$16)</x:f>
        <x:v>101.9803902718557</x:v>
      </x:c>
      <x:c r="T41" s="82" t="str">
        <x:v>Sim</x:v>
      </x:c>
      <x:c r="U41" s="82" t="str">
        <x:v>Rankeado</x:v>
      </x:c>
      <x:c r="V41" s="82" t="str">
        <x:v>Perfil misto; melhor atributo ofensivo 60, ofensiva secundária 50, robustez relativa 66% e Speed 50. O índice privilegia dano de hunt, sem ignorar sobrevivência.</x:v>
      </x:c>
      <x:c r="W41" s="82" t="str">
        <x:v>Fica atrás de Corsola principalmente por teto ofensivo 7.7% menor e ofensiva secundária 9.1% menor.</x:v>
      </x:c>
      <x:c r="X41" s="82" t="str">
        <x:v>Fica à frente de Staryu porque possui robustez sustentada 120.2% maior e total de stats 23.5% maior.</x:v>
      </x:c>
      <x:c r="Y41" s="154" t="str">
        <x:v>https://poke.idleworld.online/pokepedia/pokemon/azumarill</x:v>
      </x:c>
    </x:row>
    <x:row r="42" ht="48" customHeight="1">
      <x:c r="A42" s="82" t="n">
        <x:f>IF(U42&lt;&gt;"Rankeado","",COUNTIFS($U$5:$U$61,"Rankeado",$I$5:$I$61,"&gt;"&amp;I42)+COUNTIFS($U$5:U42,"Rankeado",$I$5:I42,I42))</x:f>
        <x:v>38</x:v>
      </x:c>
      <x:c r="B42" s="82" t="n">
        <x:f>COUNTIF($I$5:$I$61,"&gt;"&amp;I42)+COUNTIF($I$5:I42,I42)</x:f>
        <x:v>40</x:v>
      </x:c>
      <x:c r="C42" s="82" t="str">
        <x:f>IF(I42&gt;=80,"S+",IF(I42&gt;=72,"S",IF(I42&gt;=65,"A",IF(I42&gt;=58,"B",IF(I42&gt;=50,"C",IF(I42&gt;=42,"D","E"))))))</x:f>
        <x:v>D</x:v>
      </x:c>
      <x:c r="D42" s="82" t="str">
        <x:f>IF(AND(U42="Rankeado",A42&lt;=6),"Sim","Não")</x:f>
        <x:v>Não</x:v>
      </x:c>
      <x:c r="E42" s="82" t="n">
        <x:v>120</x:v>
      </x:c>
      <x:c r="F42" s="80" t="str">
        <x:v>Staryu</x:v>
      </x:c>
      <x:c r="G42" s="82" t="str">
        <x:v>Água</x:v>
      </x:c>
      <x:c r="H42" s="82" t="str">
        <x:v>Especial</x:v>
      </x:c>
      <x:c r="I42" s="142" t="n">
        <x:f>ROUND(100*(Metodologia!$B$17*(Q42/Metodologia!$B$22)+Metodologia!$B$18*(R42/Metodologia!$B$23)+Metodologia!$B$19*(S42/Metodologia!$B$24)+Metodologia!$B$20*(P42/Metodologia!$B$25)+Metodologia!$B$21*(J42/Metodologia!$B$26)),2)</x:f>
        <x:v>44.01</x:v>
      </x:c>
      <x:c r="J42" s="82" t="n">
        <x:f>SUM(K42:P42)</x:f>
        <x:v>340</x:v>
      </x:c>
      <x:c r="K42" s="82" t="n">
        <x:v>30</x:v>
      </x:c>
      <x:c r="L42" s="82" t="n">
        <x:v>45</x:v>
      </x:c>
      <x:c r="M42" s="82" t="n">
        <x:v>55</x:v>
      </x:c>
      <x:c r="N42" s="82" t="n">
        <x:v>70</x:v>
      </x:c>
      <x:c r="O42" s="82" t="n">
        <x:v>55</x:v>
      </x:c>
      <x:c r="P42" s="82" t="n">
        <x:v>85</x:v>
      </x:c>
      <x:c r="Q42" s="143" t="n">
        <x:f>MAX(L42,N42)*Metodologia!$B$16</x:f>
        <x:v>91</x:v>
      </x:c>
      <x:c r="R42" s="143" t="n">
        <x:f>MIN(L42,N42)*Metodologia!$B$16</x:f>
        <x:v>58.5</x:v>
      </x:c>
      <x:c r="S42" s="143" t="n">
        <x:f>SQRT(K42*AVERAGE(M42,O42)*Metodologia!$B$16)</x:f>
        <x:v>46.314144707637645</x:v>
      </x:c>
      <x:c r="T42" s="82" t="str">
        <x:v>Sim</x:v>
      </x:c>
      <x:c r="U42" s="82" t="str">
        <x:v>Rankeado</x:v>
      </x:c>
      <x:c r="V42" s="82" t="str">
        <x:v>Perfil especial; melhor atributo ofensivo 70, ofensiva secundária 45, robustez relativa 30% e Speed 85. O índice privilegia dano de hunt, sem ignorar sobrevivência.</x:v>
      </x:c>
      <x:c r="W42" s="82" t="str">
        <x:v>Fica atrás de Azumarill principalmente por robustez sustentada 54.6% menor e total de stats 19.0% menor.</x:v>
      </x:c>
      <x:c r="X42" s="82" t="str">
        <x:v>Fica à frente de Delibird porque possui teto ofensivo 7.7% maior e velocidade 13.3% maior.</x:v>
      </x:c>
      <x:c r="Y42" s="154" t="str">
        <x:v>https://poke.idleworld.online/pokepedia/pokemon/staryu</x:v>
      </x:c>
    </x:row>
    <x:row r="43" ht="48" customHeight="1">
      <x:c r="A43" s="82" t="n">
        <x:f>IF(U43&lt;&gt;"Rankeado","",COUNTIFS($U$5:$U$61,"Rankeado",$I$5:$I$61,"&gt;"&amp;I43)+COUNTIFS($U$5:U43,"Rankeado",$I$5:I43,I43))</x:f>
        <x:v>39</x:v>
      </x:c>
      <x:c r="B43" s="82" t="n">
        <x:f>COUNTIF($I$5:$I$61,"&gt;"&amp;I43)+COUNTIF($I$5:I43,I43)</x:f>
        <x:v>41</x:v>
      </x:c>
      <x:c r="C43" s="82" t="str">
        <x:f>IF(I43&gt;=80,"S+",IF(I43&gt;=72,"S",IF(I43&gt;=65,"A",IF(I43&gt;=58,"B",IF(I43&gt;=50,"C",IF(I43&gt;=42,"D","E"))))))</x:f>
        <x:v>D</x:v>
      </x:c>
      <x:c r="D43" s="82" t="str">
        <x:f>IF(AND(U43="Rankeado",A43&lt;=6),"Sim","Não")</x:f>
        <x:v>Não</x:v>
      </x:c>
      <x:c r="E43" s="82" t="n">
        <x:v>225</x:v>
      </x:c>
      <x:c r="F43" s="80" t="str">
        <x:v>Delibird</x:v>
      </x:c>
      <x:c r="G43" s="82" t="str">
        <x:v>Gelo / Voador</x:v>
      </x:c>
      <x:c r="H43" s="82" t="str">
        <x:v>Misto</x:v>
      </x:c>
      <x:c r="I43" s="142" t="n">
        <x:f>ROUND(100*(Metodologia!$B$17*(Q43/Metodologia!$B$22)+Metodologia!$B$18*(R43/Metodologia!$B$23)+Metodologia!$B$19*(S43/Metodologia!$B$24)+Metodologia!$B$20*(P43/Metodologia!$B$25)+Metodologia!$B$21*(J43/Metodologia!$B$26)),2)</x:f>
        <x:v>42.72</x:v>
      </x:c>
      <x:c r="J43" s="82" t="n">
        <x:f>SUM(K43:P43)</x:f>
        <x:v>330</x:v>
      </x:c>
      <x:c r="K43" s="82" t="n">
        <x:v>45</x:v>
      </x:c>
      <x:c r="L43" s="82" t="n">
        <x:v>55</x:v>
      </x:c>
      <x:c r="M43" s="82" t="n">
        <x:v>45</x:v>
      </x:c>
      <x:c r="N43" s="82" t="n">
        <x:v>65</x:v>
      </x:c>
      <x:c r="O43" s="82" t="n">
        <x:v>45</x:v>
      </x:c>
      <x:c r="P43" s="82" t="n">
        <x:v>75</x:v>
      </x:c>
      <x:c r="Q43" s="143" t="n">
        <x:f>MAX(L43,N43)*Metodologia!$B$16</x:f>
        <x:v>84.5</x:v>
      </x:c>
      <x:c r="R43" s="143" t="n">
        <x:f>MIN(L43,N43)*Metodologia!$B$16</x:f>
        <x:v>71.5</x:v>
      </x:c>
      <x:c r="S43" s="143" t="n">
        <x:f>SQRT(K43*AVERAGE(M43,O43)*Metodologia!$B$16)</x:f>
        <x:v>51.30789412946121</x:v>
      </x:c>
      <x:c r="T43" s="82" t="str">
        <x:v>Não</x:v>
      </x:c>
      <x:c r="U43" s="82" t="str">
        <x:v>Rankeado</x:v>
      </x:c>
      <x:c r="V43" s="82" t="str">
        <x:v>Perfil misto; melhor atributo ofensivo 65, ofensiva secundária 55, robustez relativa 33% e Speed 75. O índice privilegia dano de hunt, sem ignorar sobrevivência.</x:v>
      </x:c>
      <x:c r="W43" s="82" t="str">
        <x:v>Fica atrás de Staryu principalmente por teto ofensivo 7.1% menor e velocidade 11.8% menor.</x:v>
      </x:c>
      <x:c r="X43" s="82" t="str">
        <x:v>Fica à frente de Remoraid porque possui robustez sustentada 28.6% maior e velocidade 15.4% maior.</x:v>
      </x:c>
      <x:c r="Y43" s="154" t="str">
        <x:v>https://poke.idleworld.online/pokepedia/pokemon/delibird</x:v>
      </x:c>
    </x:row>
    <x:row r="44" ht="48" customHeight="1">
      <x:c r="A44" s="82" t="n">
        <x:f>IF(U44&lt;&gt;"Rankeado","",COUNTIFS($U$5:$U$61,"Rankeado",$I$5:$I$61,"&gt;"&amp;I44)+COUNTIFS($U$5:U44,"Rankeado",$I$5:I44,I44))</x:f>
        <x:v>40</x:v>
      </x:c>
      <x:c r="B44" s="82" t="n">
        <x:f>COUNTIF($I$5:$I$61,"&gt;"&amp;I44)+COUNTIF($I$5:I44,I44)</x:f>
        <x:v>42</x:v>
      </x:c>
      <x:c r="C44" s="82" t="str">
        <x:f>IF(I44&gt;=80,"S+",IF(I44&gt;=72,"S",IF(I44&gt;=65,"A",IF(I44&gt;=58,"B",IF(I44&gt;=50,"C",IF(I44&gt;=42,"D","E"))))))</x:f>
        <x:v>E</x:v>
      </x:c>
      <x:c r="D44" s="82" t="str">
        <x:f>IF(AND(U44="Rankeado",A44&lt;=6),"Sim","Não")</x:f>
        <x:v>Não</x:v>
      </x:c>
      <x:c r="E44" s="82" t="n">
        <x:v>223</x:v>
      </x:c>
      <x:c r="F44" s="80" t="str">
        <x:v>Remoraid</x:v>
      </x:c>
      <x:c r="G44" s="82" t="str">
        <x:v>Água</x:v>
      </x:c>
      <x:c r="H44" s="82" t="str">
        <x:v>Misto</x:v>
      </x:c>
      <x:c r="I44" s="142" t="n">
        <x:f>ROUND(100*(Metodologia!$B$17*(Q44/Metodologia!$B$22)+Metodologia!$B$18*(R44/Metodologia!$B$23)+Metodologia!$B$19*(S44/Metodologia!$B$24)+Metodologia!$B$20*(P44/Metodologia!$B$25)+Metodologia!$B$21*(J44/Metodologia!$B$26)),2)</x:f>
        <x:v>41.63</x:v>
      </x:c>
      <x:c r="J44" s="82" t="n">
        <x:f>SUM(K44:P44)</x:f>
        <x:v>300</x:v>
      </x:c>
      <x:c r="K44" s="82" t="n">
        <x:v>35</x:v>
      </x:c>
      <x:c r="L44" s="82" t="n">
        <x:v>65</x:v>
      </x:c>
      <x:c r="M44" s="82" t="n">
        <x:v>35</x:v>
      </x:c>
      <x:c r="N44" s="82" t="n">
        <x:v>65</x:v>
      </x:c>
      <x:c r="O44" s="82" t="n">
        <x:v>35</x:v>
      </x:c>
      <x:c r="P44" s="82" t="n">
        <x:v>65</x:v>
      </x:c>
      <x:c r="Q44" s="143" t="n">
        <x:f>MAX(L44,N44)*Metodologia!$B$16</x:f>
        <x:v>84.5</x:v>
      </x:c>
      <x:c r="R44" s="143" t="n">
        <x:f>MIN(L44,N44)*Metodologia!$B$16</x:f>
        <x:v>84.5</x:v>
      </x:c>
      <x:c r="S44" s="143" t="n">
        <x:f>SQRT(K44*AVERAGE(M44,O44)*Metodologia!$B$16)</x:f>
        <x:v>39.90613987846983</x:v>
      </x:c>
      <x:c r="T44" s="82" t="str">
        <x:v>Não</x:v>
      </x:c>
      <x:c r="U44" s="82" t="str">
        <x:v>Rankeado</x:v>
      </x:c>
      <x:c r="V44" s="82" t="str">
        <x:v>Perfil misto; melhor atributo ofensivo 65, ofensiva secundária 65, robustez relativa 26% e Speed 65. O índice privilegia dano de hunt, sem ignorar sobrevivência.</x:v>
      </x:c>
      <x:c r="W44" s="82" t="str">
        <x:v>Fica atrás de Delibird principalmente por robustez sustentada 22.2% menor e velocidade 13.3% menor.</x:v>
      </x:c>
      <x:c r="X44" s="82" t="str">
        <x:v>Fica à frente de Psyduck porque possui ofensiva secundária 25.0% maior e velocidade 18.2% maior.</x:v>
      </x:c>
      <x:c r="Y44" s="154" t="str">
        <x:v>https://poke.idleworld.online/pokepedia/pokemon/remoraid</x:v>
      </x:c>
    </x:row>
    <x:row r="45" ht="48" customHeight="1">
      <x:c r="A45" s="82" t="n">
        <x:f>IF(U45&lt;&gt;"Rankeado","",COUNTIFS($U$5:$U$61,"Rankeado",$I$5:$I$61,"&gt;"&amp;I45)+COUNTIFS($U$5:U45,"Rankeado",$I$5:I45,I45))</x:f>
        <x:v>41</x:v>
      </x:c>
      <x:c r="B45" s="82" t="n">
        <x:f>COUNTIF($I$5:$I$61,"&gt;"&amp;I45)+COUNTIF($I$5:I45,I45)</x:f>
        <x:v>43</x:v>
      </x:c>
      <x:c r="C45" s="82" t="str">
        <x:f>IF(I45&gt;=80,"S+",IF(I45&gt;=72,"S",IF(I45&gt;=65,"A",IF(I45&gt;=58,"B",IF(I45&gt;=50,"C",IF(I45&gt;=42,"D","E"))))))</x:f>
        <x:v>E</x:v>
      </x:c>
      <x:c r="D45" s="82" t="str">
        <x:f>IF(AND(U45="Rankeado",A45&lt;=6),"Sim","Não")</x:f>
        <x:v>Não</x:v>
      </x:c>
      <x:c r="E45" s="82" t="n">
        <x:v>54</x:v>
      </x:c>
      <x:c r="F45" s="80" t="str">
        <x:v>Psyduck</x:v>
      </x:c>
      <x:c r="G45" s="82" t="str">
        <x:v>Água</x:v>
      </x:c>
      <x:c r="H45" s="82" t="str">
        <x:v>Especial</x:v>
      </x:c>
      <x:c r="I45" s="142" t="n">
        <x:f>ROUND(100*(Metodologia!$B$17*(Q45/Metodologia!$B$22)+Metodologia!$B$18*(R45/Metodologia!$B$23)+Metodologia!$B$19*(S45/Metodologia!$B$24)+Metodologia!$B$20*(P45/Metodologia!$B$25)+Metodologia!$B$21*(J45/Metodologia!$B$26)),2)</x:f>
        <x:v>41.53</x:v>
      </x:c>
      <x:c r="J45" s="82" t="n">
        <x:f>SUM(K45:P45)</x:f>
        <x:v>320</x:v>
      </x:c>
      <x:c r="K45" s="82" t="n">
        <x:v>50</x:v>
      </x:c>
      <x:c r="L45" s="82" t="n">
        <x:v>52</x:v>
      </x:c>
      <x:c r="M45" s="82" t="n">
        <x:v>48</x:v>
      </x:c>
      <x:c r="N45" s="82" t="n">
        <x:v>65</x:v>
      </x:c>
      <x:c r="O45" s="82" t="n">
        <x:v>50</x:v>
      </x:c>
      <x:c r="P45" s="82" t="n">
        <x:v>55</x:v>
      </x:c>
      <x:c r="Q45" s="143" t="n">
        <x:f>MAX(L45,N45)*Metodologia!$B$16</x:f>
        <x:v>84.5</x:v>
      </x:c>
      <x:c r="R45" s="143" t="n">
        <x:f>MIN(L45,N45)*Metodologia!$B$16</x:f>
        <x:v>67.60000000000001</x:v>
      </x:c>
      <x:c r="S45" s="143" t="n">
        <x:f>SQRT(K45*AVERAGE(M45,O45)*Metodologia!$B$16)</x:f>
        <x:v>56.43580423808985</x:v>
      </x:c>
      <x:c r="T45" s="82" t="str">
        <x:v>Sim</x:v>
      </x:c>
      <x:c r="U45" s="82" t="str">
        <x:v>Rankeado</x:v>
      </x:c>
      <x:c r="V45" s="82" t="str">
        <x:v>Perfil especial; melhor atributo ofensivo 65, ofensiva secundária 52, robustez relativa 36% e Speed 55. O índice privilegia dano de hunt, sem ignorar sobrevivência.</x:v>
      </x:c>
      <x:c r="W45" s="82" t="str">
        <x:v>Fica atrás de Remoraid principalmente por ofensiva secundária 20.0% menor e velocidade 15.4% menor.</x:v>
      </x:c>
      <x:c r="X45" s="82" t="str">
        <x:v>Fica à frente de Goldeen porque possui ofensiva secundária 48.6% maior.</x:v>
      </x:c>
      <x:c r="Y45" s="154" t="str">
        <x:v>https://poke.idleworld.online/pokepedia/pokemon/psyduck</x:v>
      </x:c>
    </x:row>
    <x:row r="46" ht="48" customHeight="1">
      <x:c r="A46" s="82" t="n">
        <x:f>IF(U46&lt;&gt;"Rankeado","",COUNTIFS($U$5:$U$61,"Rankeado",$I$5:$I$61,"&gt;"&amp;I46)+COUNTIFS($U$5:U46,"Rankeado",$I$5:I46,I46))</x:f>
        <x:v>42</x:v>
      </x:c>
      <x:c r="B46" s="82" t="n">
        <x:f>COUNTIF($I$5:$I$61,"&gt;"&amp;I46)+COUNTIF($I$5:I46,I46)</x:f>
        <x:v>44</x:v>
      </x:c>
      <x:c r="C46" s="82" t="str">
        <x:f>IF(I46&gt;=80,"S+",IF(I46&gt;=72,"S",IF(I46&gt;=65,"A",IF(I46&gt;=58,"B",IF(I46&gt;=50,"C",IF(I46&gt;=42,"D","E"))))))</x:f>
        <x:v>E</x:v>
      </x:c>
      <x:c r="D46" s="82" t="str">
        <x:f>IF(AND(U46="Rankeado",A46&lt;=6),"Sim","Não")</x:f>
        <x:v>Não</x:v>
      </x:c>
      <x:c r="E46" s="82" t="n">
        <x:v>118</x:v>
      </x:c>
      <x:c r="F46" s="80" t="str">
        <x:v>Goldeen</x:v>
      </x:c>
      <x:c r="G46" s="82" t="str">
        <x:v>Água</x:v>
      </x:c>
      <x:c r="H46" s="82" t="str">
        <x:v>Físico</x:v>
      </x:c>
      <x:c r="I46" s="142" t="n">
        <x:f>ROUND(100*(Metodologia!$B$17*(Q46/Metodologia!$B$22)+Metodologia!$B$18*(R46/Metodologia!$B$23)+Metodologia!$B$19*(S46/Metodologia!$B$24)+Metodologia!$B$20*(P46/Metodologia!$B$25)+Metodologia!$B$21*(J46/Metodologia!$B$26)),2)</x:f>
        <x:v>41.33</x:v>
      </x:c>
      <x:c r="J46" s="82" t="n">
        <x:f>SUM(K46:P46)</x:f>
        <x:v>320</x:v>
      </x:c>
      <x:c r="K46" s="82" t="n">
        <x:v>45</x:v>
      </x:c>
      <x:c r="L46" s="82" t="n">
        <x:v>67</x:v>
      </x:c>
      <x:c r="M46" s="82" t="n">
        <x:v>60</x:v>
      </x:c>
      <x:c r="N46" s="82" t="n">
        <x:v>35</x:v>
      </x:c>
      <x:c r="O46" s="82" t="n">
        <x:v>50</x:v>
      </x:c>
      <x:c r="P46" s="82" t="n">
        <x:v>63</x:v>
      </x:c>
      <x:c r="Q46" s="143" t="n">
        <x:f>MAX(L46,N46)*Metodologia!$B$16</x:f>
        <x:v>87.10000000000001</x:v>
      </x:c>
      <x:c r="R46" s="143" t="n">
        <x:f>MIN(L46,N46)*Metodologia!$B$16</x:f>
        <x:v>45.5</x:v>
      </x:c>
      <x:c r="S46" s="143" t="n">
        <x:f>SQRT(K46*AVERAGE(M46,O46)*Metodologia!$B$16)</x:f>
        <x:v>56.72301120356711</x:v>
      </x:c>
      <x:c r="T46" s="82" t="str">
        <x:v>Não</x:v>
      </x:c>
      <x:c r="U46" s="82" t="str">
        <x:v>Rankeado</x:v>
      </x:c>
      <x:c r="V46" s="82" t="str">
        <x:v>Perfil físico; melhor atributo ofensivo 67, ofensiva secundária 35, robustez relativa 37% e Speed 63. O índice privilegia dano de hunt, sem ignorar sobrevivência.</x:v>
      </x:c>
      <x:c r="W46" s="82" t="str">
        <x:v>Fica atrás de Psyduck principalmente por ofensiva secundária 32.7% menor.</x:v>
      </x:c>
      <x:c r="X46" s="82" t="str">
        <x:v>Fica à frente de Horsea porque possui robustez sustentada 31.8% maior e velocidade 5.0% maior.</x:v>
      </x:c>
      <x:c r="Y46" s="154" t="str">
        <x:v>https://poke.idleworld.online/pokepedia/pokemon/goldeen</x:v>
      </x:c>
    </x:row>
    <x:row r="47" ht="48" customHeight="1">
      <x:c r="A47" s="82" t="n">
        <x:f>IF(U47&lt;&gt;"Rankeado","",COUNTIFS($U$5:$U$61,"Rankeado",$I$5:$I$61,"&gt;"&amp;I47)+COUNTIFS($U$5:U47,"Rankeado",$I$5:I47,I47))</x:f>
        <x:v>43</x:v>
      </x:c>
      <x:c r="B47" s="82" t="n">
        <x:f>COUNTIF($I$5:$I$61,"&gt;"&amp;I47)+COUNTIF($I$5:I47,I47)</x:f>
        <x:v>45</x:v>
      </x:c>
      <x:c r="C47" s="82" t="str">
        <x:f>IF(I47&gt;=80,"S+",IF(I47&gt;=72,"S",IF(I47&gt;=65,"A",IF(I47&gt;=58,"B",IF(I47&gt;=50,"C",IF(I47&gt;=42,"D","E"))))))</x:f>
        <x:v>E</x:v>
      </x:c>
      <x:c r="D47" s="82" t="str">
        <x:f>IF(AND(U47="Rankeado",A47&lt;=6),"Sim","Não")</x:f>
        <x:v>Não</x:v>
      </x:c>
      <x:c r="E47" s="82" t="n">
        <x:v>116</x:v>
      </x:c>
      <x:c r="F47" s="80" t="str">
        <x:v>Horsea</x:v>
      </x:c>
      <x:c r="G47" s="82" t="str">
        <x:v>Água</x:v>
      </x:c>
      <x:c r="H47" s="82" t="str">
        <x:v>Especial</x:v>
      </x:c>
      <x:c r="I47" s="142" t="n">
        <x:f>ROUND(100*(Metodologia!$B$17*(Q47/Metodologia!$B$22)+Metodologia!$B$18*(R47/Metodologia!$B$23)+Metodologia!$B$19*(S47/Metodologia!$B$24)+Metodologia!$B$20*(P47/Metodologia!$B$25)+Metodologia!$B$21*(J47/Metodologia!$B$26)),2)</x:f>
        <x:v>41.24</x:v>
      </x:c>
      <x:c r="J47" s="82" t="n">
        <x:f>SUM(K47:P47)</x:f>
        <x:v>295</x:v>
      </x:c>
      <x:c r="K47" s="82" t="n">
        <x:v>30</x:v>
      </x:c>
      <x:c r="L47" s="82" t="n">
        <x:v>40</x:v>
      </x:c>
      <x:c r="M47" s="82" t="n">
        <x:v>70</x:v>
      </x:c>
      <x:c r="N47" s="82" t="n">
        <x:v>70</x:v>
      </x:c>
      <x:c r="O47" s="82" t="n">
        <x:v>25</x:v>
      </x:c>
      <x:c r="P47" s="82" t="n">
        <x:v>60</x:v>
      </x:c>
      <x:c r="Q47" s="143" t="n">
        <x:f>MAX(L47,N47)*Metodologia!$B$16</x:f>
        <x:v>91</x:v>
      </x:c>
      <x:c r="R47" s="143" t="n">
        <x:f>MIN(L47,N47)*Metodologia!$B$16</x:f>
        <x:v>52</x:v>
      </x:c>
      <x:c r="S47" s="143" t="n">
        <x:f>SQRT(K47*AVERAGE(M47,O47)*Metodologia!$B$16)</x:f>
        <x:v>43.04067843331469</x:v>
      </x:c>
      <x:c r="T47" s="82" t="str">
        <x:v>Não</x:v>
      </x:c>
      <x:c r="U47" s="82" t="str">
        <x:v>Rankeado</x:v>
      </x:c>
      <x:c r="V47" s="82" t="str">
        <x:v>Perfil especial; melhor atributo ofensivo 70, ofensiva secundária 40, robustez relativa 28% e Speed 60. O índice privilegia dano de hunt, sem ignorar sobrevivência.</x:v>
      </x:c>
      <x:c r="W47" s="82" t="str">
        <x:v>Fica atrás de Goldeen principalmente por robustez sustentada 24.1% menor e velocidade 4.8% menor.</x:v>
      </x:c>
      <x:c r="X47" s="82" t="str">
        <x:v>Fica à frente de Totodile porque possui teto ofensivo 7.7% maior e velocidade 39.5% maior.</x:v>
      </x:c>
      <x:c r="Y47" s="154" t="str">
        <x:v>https://poke.idleworld.online/pokepedia/pokemon/horsea</x:v>
      </x:c>
    </x:row>
    <x:row r="48" ht="48" customHeight="1">
      <x:c r="A48" s="82" t="n">
        <x:f>IF(U48&lt;&gt;"Rankeado","",COUNTIFS($U$5:$U$61,"Rankeado",$I$5:$I$61,"&gt;"&amp;I48)+COUNTIFS($U$5:U48,"Rankeado",$I$5:I48,I48))</x:f>
        <x:v>44</x:v>
      </x:c>
      <x:c r="B48" s="82" t="n">
        <x:f>COUNTIF($I$5:$I$61,"&gt;"&amp;I48)+COUNTIF($I$5:I48,I48)</x:f>
        <x:v>46</x:v>
      </x:c>
      <x:c r="C48" s="82" t="str">
        <x:f>IF(I48&gt;=80,"S+",IF(I48&gt;=72,"S",IF(I48&gt;=65,"A",IF(I48&gt;=58,"B",IF(I48&gt;=50,"C",IF(I48&gt;=42,"D","E"))))))</x:f>
        <x:v>E</x:v>
      </x:c>
      <x:c r="D48" s="82" t="str">
        <x:f>IF(AND(U48="Rankeado",A48&lt;=6),"Sim","Não")</x:f>
        <x:v>Não</x:v>
      </x:c>
      <x:c r="E48" s="82" t="n">
        <x:v>158</x:v>
      </x:c>
      <x:c r="F48" s="80" t="str">
        <x:v>Totodile</x:v>
      </x:c>
      <x:c r="G48" s="82" t="str">
        <x:v>Água</x:v>
      </x:c>
      <x:c r="H48" s="82" t="str">
        <x:v>Físico</x:v>
      </x:c>
      <x:c r="I48" s="142" t="n">
        <x:f>ROUND(100*(Metodologia!$B$17*(Q48/Metodologia!$B$22)+Metodologia!$B$18*(R48/Metodologia!$B$23)+Metodologia!$B$19*(S48/Metodologia!$B$24)+Metodologia!$B$20*(P48/Metodologia!$B$25)+Metodologia!$B$21*(J48/Metodologia!$B$26)),2)</x:f>
        <x:v>40.34</x:v>
      </x:c>
      <x:c r="J48" s="82" t="n">
        <x:f>SUM(K48:P48)</x:f>
        <x:v>314</x:v>
      </x:c>
      <x:c r="K48" s="82" t="n">
        <x:v>50</x:v>
      </x:c>
      <x:c r="L48" s="82" t="n">
        <x:v>65</x:v>
      </x:c>
      <x:c r="M48" s="82" t="n">
        <x:v>64</x:v>
      </x:c>
      <x:c r="N48" s="82" t="n">
        <x:v>44</x:v>
      </x:c>
      <x:c r="O48" s="82" t="n">
        <x:v>48</x:v>
      </x:c>
      <x:c r="P48" s="82" t="n">
        <x:v>43</x:v>
      </x:c>
      <x:c r="Q48" s="143" t="n">
        <x:f>MAX(L48,N48)*Metodologia!$B$16</x:f>
        <x:v>84.5</x:v>
      </x:c>
      <x:c r="R48" s="143" t="n">
        <x:f>MIN(L48,N48)*Metodologia!$B$16</x:f>
        <x:v>57.2</x:v>
      </x:c>
      <x:c r="S48" s="143" t="n">
        <x:f>SQRT(K48*AVERAGE(M48,O48)*Metodologia!$B$16)</x:f>
        <x:v>60.332412515993425</x:v>
      </x:c>
      <x:c r="T48" s="82" t="str">
        <x:v>Sim</x:v>
      </x:c>
      <x:c r="U48" s="82" t="str">
        <x:v>Rankeado</x:v>
      </x:c>
      <x:c r="V48" s="82" t="str">
        <x:v>Perfil físico; melhor atributo ofensivo 65, ofensiva secundária 44, robustez relativa 39% e Speed 43. O índice privilegia dano de hunt, sem ignorar sobrevivência.</x:v>
      </x:c>
      <x:c r="W48" s="82" t="str">
        <x:v>Fica atrás de Horsea principalmente por teto ofensivo 7.1% menor e velocidade 28.3% menor.</x:v>
      </x:c>
      <x:c r="X48" s="82" t="str">
        <x:v>Fica à frente de Slowpoke porque possui velocidade 186.7% maior e ofensiva secundária 10.0% maior.</x:v>
      </x:c>
      <x:c r="Y48" s="154" t="str">
        <x:v>https://poke.idleworld.online/pokepedia/pokemon/totodile</x:v>
      </x:c>
    </x:row>
    <x:row r="49" ht="48" customHeight="1">
      <x:c r="A49" s="82" t="n">
        <x:f>IF(U49&lt;&gt;"Rankeado","",COUNTIFS($U$5:$U$61,"Rankeado",$I$5:$I$61,"&gt;"&amp;I49)+COUNTIFS($U$5:U49,"Rankeado",$I$5:I49,I49))</x:f>
        <x:v>45</x:v>
      </x:c>
      <x:c r="B49" s="82" t="n">
        <x:f>COUNTIF($I$5:$I$61,"&gt;"&amp;I49)+COUNTIF($I$5:I49,I49)</x:f>
        <x:v>47</x:v>
      </x:c>
      <x:c r="C49" s="82" t="str">
        <x:f>IF(I49&gt;=80,"S+",IF(I49&gt;=72,"S",IF(I49&gt;=65,"A",IF(I49&gt;=58,"B",IF(I49&gt;=50,"C",IF(I49&gt;=42,"D","E"))))))</x:f>
        <x:v>E</x:v>
      </x:c>
      <x:c r="D49" s="82" t="str">
        <x:f>IF(AND(U49="Rankeado",A49&lt;=6),"Sim","Não")</x:f>
        <x:v>Não</x:v>
      </x:c>
      <x:c r="E49" s="82" t="n">
        <x:v>79</x:v>
      </x:c>
      <x:c r="F49" s="80" t="str">
        <x:v>Slowpoke</x:v>
      </x:c>
      <x:c r="G49" s="82" t="str">
        <x:v>Água / Psíquico</x:v>
      </x:c>
      <x:c r="H49" s="82" t="str">
        <x:v>Físico</x:v>
      </x:c>
      <x:c r="I49" s="142" t="n">
        <x:f>ROUND(100*(Metodologia!$B$17*(Q49/Metodologia!$B$22)+Metodologia!$B$18*(R49/Metodologia!$B$23)+Metodologia!$B$19*(S49/Metodologia!$B$24)+Metodologia!$B$20*(P49/Metodologia!$B$25)+Metodologia!$B$21*(J49/Metodologia!$B$26)),2)</x:f>
        <x:v>39.86</x:v>
      </x:c>
      <x:c r="J49" s="82" t="n">
        <x:f>SUM(K49:P49)</x:f>
        <x:v>315</x:v>
      </x:c>
      <x:c r="K49" s="82" t="n">
        <x:v>90</x:v>
      </x:c>
      <x:c r="L49" s="82" t="n">
        <x:v>65</x:v>
      </x:c>
      <x:c r="M49" s="82" t="n">
        <x:v>65</x:v>
      </x:c>
      <x:c r="N49" s="82" t="n">
        <x:v>40</x:v>
      </x:c>
      <x:c r="O49" s="82" t="n">
        <x:v>40</x:v>
      </x:c>
      <x:c r="P49" s="82" t="n">
        <x:v>15</x:v>
      </x:c>
      <x:c r="Q49" s="143" t="n">
        <x:f>MAX(L49,N49)*Metodologia!$B$16</x:f>
        <x:v>84.5</x:v>
      </x:c>
      <x:c r="R49" s="143" t="n">
        <x:f>MIN(L49,N49)*Metodologia!$B$16</x:f>
        <x:v>52</x:v>
      </x:c>
      <x:c r="S49" s="143" t="n">
        <x:f>SQRT(K49*AVERAGE(M49,O49)*Metodologia!$B$16)</x:f>
        <x:v>78.3741028656788</x:v>
      </x:c>
      <x:c r="T49" s="82" t="str">
        <x:v>Sim</x:v>
      </x:c>
      <x:c r="U49" s="82" t="str">
        <x:v>Rankeado</x:v>
      </x:c>
      <x:c r="V49" s="82" t="str">
        <x:v>Perfil físico; melhor atributo ofensivo 65, ofensiva secundária 40, robustez relativa 51% e Speed 15. O índice privilegia dano de hunt, sem ignorar sobrevivência.</x:v>
      </x:c>
      <x:c r="W49" s="82" t="str">
        <x:v>Fica atrás de Totodile principalmente por velocidade 65.1% menor e ofensiva secundária 9.1% menor.</x:v>
      </x:c>
      <x:c r="X49" s="82" t="str">
        <x:v>Fica à frente de Shellder porque possui robustez sustentada 58.7% maior e total de stats 3.3% maior.</x:v>
      </x:c>
      <x:c r="Y49" s="154" t="str">
        <x:v>https://poke.idleworld.online/pokepedia/pokemon/slowpoke</x:v>
      </x:c>
    </x:row>
    <x:row r="50" ht="48" customHeight="1">
      <x:c r="A50" s="82" t="n">
        <x:f>IF(U50&lt;&gt;"Rankeado","",COUNTIFS($U$5:$U$61,"Rankeado",$I$5:$I$61,"&gt;"&amp;I50)+COUNTIFS($U$5:U50,"Rankeado",$I$5:I50,I50))</x:f>
        <x:v>46</x:v>
      </x:c>
      <x:c r="B50" s="82" t="n">
        <x:f>COUNTIF($I$5:$I$61,"&gt;"&amp;I50)+COUNTIF($I$5:I50,I50)</x:f>
        <x:v>48</x:v>
      </x:c>
      <x:c r="C50" s="82" t="str">
        <x:f>IF(I50&gt;=80,"S+",IF(I50&gt;=72,"S",IF(I50&gt;=65,"A",IF(I50&gt;=58,"B",IF(I50&gt;=50,"C",IF(I50&gt;=42,"D","E"))))))</x:f>
        <x:v>E</x:v>
      </x:c>
      <x:c r="D50" s="82" t="str">
        <x:f>IF(AND(U50="Rankeado",A50&lt;=6),"Sim","Não")</x:f>
        <x:v>Não</x:v>
      </x:c>
      <x:c r="E50" s="82" t="n">
        <x:v>90</x:v>
      </x:c>
      <x:c r="F50" s="80" t="str">
        <x:v>Shellder</x:v>
      </x:c>
      <x:c r="G50" s="82" t="str">
        <x:v>Água</x:v>
      </x:c>
      <x:c r="H50" s="82" t="str">
        <x:v>Físico</x:v>
      </x:c>
      <x:c r="I50" s="142" t="n">
        <x:f>ROUND(100*(Metodologia!$B$17*(Q50/Metodologia!$B$22)+Metodologia!$B$18*(R50/Metodologia!$B$23)+Metodologia!$B$19*(S50/Metodologia!$B$24)+Metodologia!$B$20*(P50/Metodologia!$B$25)+Metodologia!$B$21*(J50/Metodologia!$B$26)),2)</x:f>
        <x:v>39.1</x:v>
      </x:c>
      <x:c r="J50" s="82" t="n">
        <x:f>SUM(K50:P50)</x:f>
        <x:v>305</x:v>
      </x:c>
      <x:c r="K50" s="82" t="n">
        <x:v>30</x:v>
      </x:c>
      <x:c r="L50" s="82" t="n">
        <x:v>65</x:v>
      </x:c>
      <x:c r="M50" s="82" t="n">
        <x:v>100</x:v>
      </x:c>
      <x:c r="N50" s="82" t="n">
        <x:v>45</x:v>
      </x:c>
      <x:c r="O50" s="82" t="n">
        <x:v>25</x:v>
      </x:c>
      <x:c r="P50" s="82" t="n">
        <x:v>40</x:v>
      </x:c>
      <x:c r="Q50" s="143" t="n">
        <x:f>MAX(L50,N50)*Metodologia!$B$16</x:f>
        <x:v>84.5</x:v>
      </x:c>
      <x:c r="R50" s="143" t="n">
        <x:f>MIN(L50,N50)*Metodologia!$B$16</x:f>
        <x:v>58.5</x:v>
      </x:c>
      <x:c r="S50" s="143" t="n">
        <x:f>SQRT(K50*AVERAGE(M50,O50)*Metodologia!$B$16)</x:f>
        <x:v>49.371044145328746</x:v>
      </x:c>
      <x:c r="T50" s="82" t="str">
        <x:v>Sim</x:v>
      </x:c>
      <x:c r="U50" s="82" t="str">
        <x:v>Rankeado</x:v>
      </x:c>
      <x:c r="V50" s="82" t="str">
        <x:v>Perfil físico; melhor atributo ofensivo 65, ofensiva secundária 45, robustez relativa 32% e Speed 40. O índice privilegia dano de hunt, sem ignorar sobrevivência.</x:v>
      </x:c>
      <x:c r="W50" s="82" t="str">
        <x:v>Fica atrás de Slowpoke principalmente por robustez sustentada 37.0% menor e total de stats 3.2% menor.</x:v>
      </x:c>
      <x:c r="X50" s="82" t="str">
        <x:v>Fica à frente de Chinchou porque possui teto ofensivo 16.1% maior e ofensiva secundária 18.4% maior.</x:v>
      </x:c>
      <x:c r="Y50" s="154" t="str">
        <x:v>https://poke.idleworld.online/pokepedia/pokemon/shellder</x:v>
      </x:c>
    </x:row>
    <x:row r="51" ht="48" customHeight="1">
      <x:c r="A51" s="82" t="n">
        <x:f>IF(U51&lt;&gt;"Rankeado","",COUNTIFS($U$5:$U$61,"Rankeado",$I$5:$I$61,"&gt;"&amp;I51)+COUNTIFS($U$5:U51,"Rankeado",$I$5:I51,I51))</x:f>
        <x:v>47</x:v>
      </x:c>
      <x:c r="B51" s="82" t="n">
        <x:f>COUNTIF($I$5:$I$61,"&gt;"&amp;I51)+COUNTIF($I$5:I51,I51)</x:f>
        <x:v>49</x:v>
      </x:c>
      <x:c r="C51" s="82" t="str">
        <x:f>IF(I51&gt;=80,"S+",IF(I51&gt;=72,"S",IF(I51&gt;=65,"A",IF(I51&gt;=58,"B",IF(I51&gt;=50,"C",IF(I51&gt;=42,"D","E"))))))</x:f>
        <x:v>E</x:v>
      </x:c>
      <x:c r="D51" s="82" t="str">
        <x:f>IF(AND(U51="Rankeado",A51&lt;=6),"Sim","Não")</x:f>
        <x:v>Não</x:v>
      </x:c>
      <x:c r="E51" s="82" t="n">
        <x:v>170</x:v>
      </x:c>
      <x:c r="F51" s="80" t="str">
        <x:v>Chinchou</x:v>
      </x:c>
      <x:c r="G51" s="82" t="str">
        <x:v>Água / Elétrico</x:v>
      </x:c>
      <x:c r="H51" s="82" t="str">
        <x:v>Especial</x:v>
      </x:c>
      <x:c r="I51" s="142" t="n">
        <x:f>ROUND(100*(Metodologia!$B$17*(Q51/Metodologia!$B$22)+Metodologia!$B$18*(R51/Metodologia!$B$23)+Metodologia!$B$19*(S51/Metodologia!$B$24)+Metodologia!$B$20*(P51/Metodologia!$B$25)+Metodologia!$B$21*(J51/Metodologia!$B$26)),2)</x:f>
        <x:v>38.72</x:v>
      </x:c>
      <x:c r="J51" s="82" t="n">
        <x:f>SUM(K51:P51)</x:f>
        <x:v>330</x:v>
      </x:c>
      <x:c r="K51" s="82" t="n">
        <x:v>75</x:v>
      </x:c>
      <x:c r="L51" s="82" t="n">
        <x:v>38</x:v>
      </x:c>
      <x:c r="M51" s="82" t="n">
        <x:v>38</x:v>
      </x:c>
      <x:c r="N51" s="82" t="n">
        <x:v>56</x:v>
      </x:c>
      <x:c r="O51" s="82" t="n">
        <x:v>56</x:v>
      </x:c>
      <x:c r="P51" s="82" t="n">
        <x:v>67</x:v>
      </x:c>
      <x:c r="Q51" s="143" t="n">
        <x:f>MAX(L51,N51)*Metodologia!$B$16</x:f>
        <x:v>72.8</x:v>
      </x:c>
      <x:c r="R51" s="143" t="n">
        <x:f>MIN(L51,N51)*Metodologia!$B$16</x:f>
        <x:v>49.4</x:v>
      </x:c>
      <x:c r="S51" s="143" t="n">
        <x:f>SQRT(K51*AVERAGE(M51,O51)*Metodologia!$B$16)</x:f>
        <x:v>67.6941651843052</x:v>
      </x:c>
      <x:c r="T51" s="82" t="str">
        <x:v>Sim</x:v>
      </x:c>
      <x:c r="U51" s="82" t="str">
        <x:v>Rankeado</x:v>
      </x:c>
      <x:c r="V51" s="82" t="str">
        <x:v>Perfil especial; melhor atributo ofensivo 56, ofensiva secundária 38, robustez relativa 44% e Speed 67. O índice privilegia dano de hunt, sem ignorar sobrevivência.</x:v>
      </x:c>
      <x:c r="W51" s="82" t="str">
        <x:v>Fica atrás de Shellder principalmente por teto ofensivo 13.8% menor e ofensiva secundária 15.6% menor.</x:v>
      </x:c>
      <x:c r="X51" s="82" t="str">
        <x:v>Fica à frente de Tentacool porque possui teto ofensivo 12.0% maior e robustez sustentada 14.3% maior.</x:v>
      </x:c>
      <x:c r="Y51" s="154" t="str">
        <x:v>https://poke.idleworld.online/pokepedia/pokemon/chinchou</x:v>
      </x:c>
    </x:row>
    <x:row r="52" ht="48" customHeight="1">
      <x:c r="A52" s="82" t="n">
        <x:f>IF(U52&lt;&gt;"Rankeado","",COUNTIFS($U$5:$U$61,"Rankeado",$I$5:$I$61,"&gt;"&amp;I52)+COUNTIFS($U$5:U52,"Rankeado",$I$5:I52,I52))</x:f>
        <x:v>48</x:v>
      </x:c>
      <x:c r="B52" s="82" t="n">
        <x:f>COUNTIF($I$5:$I$61,"&gt;"&amp;I52)+COUNTIF($I$5:I52,I52)</x:f>
        <x:v>50</x:v>
      </x:c>
      <x:c r="C52" s="82" t="str">
        <x:f>IF(I52&gt;=80,"S+",IF(I52&gt;=72,"S",IF(I52&gt;=65,"A",IF(I52&gt;=58,"B",IF(I52&gt;=50,"C",IF(I52&gt;=42,"D","E"))))))</x:f>
        <x:v>E</x:v>
      </x:c>
      <x:c r="D52" s="82" t="str">
        <x:f>IF(AND(U52="Rankeado",A52&lt;=6),"Sim","Não")</x:f>
        <x:v>Não</x:v>
      </x:c>
      <x:c r="E52" s="82" t="n">
        <x:v>72</x:v>
      </x:c>
      <x:c r="F52" s="80" t="str">
        <x:v>Tentacool</x:v>
      </x:c>
      <x:c r="G52" s="82" t="str">
        <x:v>Água / Veneno</x:v>
      </x:c>
      <x:c r="H52" s="82" t="str">
        <x:v>Misto</x:v>
      </x:c>
      <x:c r="I52" s="142" t="n">
        <x:f>ROUND(100*(Metodologia!$B$17*(Q52/Metodologia!$B$22)+Metodologia!$B$18*(R52/Metodologia!$B$23)+Metodologia!$B$19*(S52/Metodologia!$B$24)+Metodologia!$B$20*(P52/Metodologia!$B$25)+Metodologia!$B$21*(J52/Metodologia!$B$26)),2)</x:f>
        <x:v>35.98</x:v>
      </x:c>
      <x:c r="J52" s="82" t="n">
        <x:f>SUM(K52:P52)</x:f>
        <x:v>335</x:v>
      </x:c>
      <x:c r="K52" s="82" t="n">
        <x:v>40</x:v>
      </x:c>
      <x:c r="L52" s="82" t="n">
        <x:v>40</x:v>
      </x:c>
      <x:c r="M52" s="82" t="n">
        <x:v>35</x:v>
      </x:c>
      <x:c r="N52" s="82" t="n">
        <x:v>50</x:v>
      </x:c>
      <x:c r="O52" s="82" t="n">
        <x:v>100</x:v>
      </x:c>
      <x:c r="P52" s="82" t="n">
        <x:v>70</x:v>
      </x:c>
      <x:c r="Q52" s="143" t="n">
        <x:f>MAX(L52,N52)*Metodologia!$B$16</x:f>
        <x:v>65</x:v>
      </x:c>
      <x:c r="R52" s="143" t="n">
        <x:f>MIN(L52,N52)*Metodologia!$B$16</x:f>
        <x:v>52</x:v>
      </x:c>
      <x:c r="S52" s="143" t="n">
        <x:f>SQRT(K52*AVERAGE(M52,O52)*Metodologia!$B$16)</x:f>
        <x:v>59.2452529743945</x:v>
      </x:c>
      <x:c r="T52" s="82" t="str">
        <x:v>Sim</x:v>
      </x:c>
      <x:c r="U52" s="82" t="str">
        <x:v>Rankeado</x:v>
      </x:c>
      <x:c r="V52" s="82" t="str">
        <x:v>Perfil misto; melhor atributo ofensivo 50, ofensiva secundária 40, robustez relativa 38% e Speed 70. O índice privilegia dano de hunt, sem ignorar sobrevivência.</x:v>
      </x:c>
      <x:c r="W52" s="82" t="str">
        <x:v>Fica atrás de Chinchou principalmente por teto ofensivo 10.7% menor e robustez sustentada 12.5% menor.</x:v>
      </x:c>
      <x:c r="X52" s="82" t="str">
        <x:v>Fica à frente de Poliwag porque possui robustez sustentada 29.9% maior e total de stats 11.7% maior.</x:v>
      </x:c>
      <x:c r="Y52" s="154" t="str">
        <x:v>https://poke.idleworld.online/pokepedia/pokemon/tentacool</x:v>
      </x:c>
    </x:row>
    <x:row r="53" ht="48" customHeight="1">
      <x:c r="A53" s="82" t="n">
        <x:f>IF(U53&lt;&gt;"Rankeado","",COUNTIFS($U$5:$U$61,"Rankeado",$I$5:$I$61,"&gt;"&amp;I53)+COUNTIFS($U$5:U53,"Rankeado",$I$5:I53,I53))</x:f>
        <x:v>49</x:v>
      </x:c>
      <x:c r="B53" s="82" t="n">
        <x:f>COUNTIF($I$5:$I$61,"&gt;"&amp;I53)+COUNTIF($I$5:I53,I53)</x:f>
        <x:v>51</x:v>
      </x:c>
      <x:c r="C53" s="82" t="str">
        <x:f>IF(I53&gt;=80,"S+",IF(I53&gt;=72,"S",IF(I53&gt;=65,"A",IF(I53&gt;=58,"B",IF(I53&gt;=50,"C",IF(I53&gt;=42,"D","E"))))))</x:f>
        <x:v>E</x:v>
      </x:c>
      <x:c r="D53" s="82" t="str">
        <x:f>IF(AND(U53="Rankeado",A53&lt;=6),"Sim","Não")</x:f>
        <x:v>Não</x:v>
      </x:c>
      <x:c r="E53" s="82" t="n">
        <x:v>60</x:v>
      </x:c>
      <x:c r="F53" s="80" t="str">
        <x:v>Poliwag</x:v>
      </x:c>
      <x:c r="G53" s="82" t="str">
        <x:v>Água</x:v>
      </x:c>
      <x:c r="H53" s="82" t="str">
        <x:v>Misto</x:v>
      </x:c>
      <x:c r="I53" s="142" t="n">
        <x:f>ROUND(100*(Metodologia!$B$17*(Q53/Metodologia!$B$22)+Metodologia!$B$18*(R53/Metodologia!$B$23)+Metodologia!$B$19*(S53/Metodologia!$B$24)+Metodologia!$B$20*(P53/Metodologia!$B$25)+Metodologia!$B$21*(J53/Metodologia!$B$26)),2)</x:f>
        <x:v>35.74</x:v>
      </x:c>
      <x:c r="J53" s="82" t="n">
        <x:f>SUM(K53:P53)</x:f>
        <x:v>300</x:v>
      </x:c>
      <x:c r="K53" s="82" t="n">
        <x:v>40</x:v>
      </x:c>
      <x:c r="L53" s="82" t="n">
        <x:v>50</x:v>
      </x:c>
      <x:c r="M53" s="82" t="n">
        <x:v>40</x:v>
      </x:c>
      <x:c r="N53" s="82" t="n">
        <x:v>40</x:v>
      </x:c>
      <x:c r="O53" s="82" t="n">
        <x:v>40</x:v>
      </x:c>
      <x:c r="P53" s="82" t="n">
        <x:v>90</x:v>
      </x:c>
      <x:c r="Q53" s="143" t="n">
        <x:f>MAX(L53,N53)*Metodologia!$B$16</x:f>
        <x:v>65</x:v>
      </x:c>
      <x:c r="R53" s="143" t="n">
        <x:f>MIN(L53,N53)*Metodologia!$B$16</x:f>
        <x:v>52</x:v>
      </x:c>
      <x:c r="S53" s="143" t="n">
        <x:f>SQRT(K53*AVERAGE(M53,O53)*Metodologia!$B$16)</x:f>
        <x:v>45.60701700396552</x:v>
      </x:c>
      <x:c r="T53" s="82" t="str">
        <x:v>Sim</x:v>
      </x:c>
      <x:c r="U53" s="82" t="str">
        <x:v>Rankeado</x:v>
      </x:c>
      <x:c r="V53" s="82" t="str">
        <x:v>Perfil misto; melhor atributo ofensivo 50, ofensiva secundária 40, robustez relativa 29% e Speed 90. O índice privilegia dano de hunt, sem ignorar sobrevivência.</x:v>
      </x:c>
      <x:c r="W53" s="82" t="str">
        <x:v>Fica atrás de Tentacool principalmente por robustez sustentada 23.0% menor e total de stats 10.4% menor.</x:v>
      </x:c>
      <x:c r="X53" s="82" t="str">
        <x:v>Fica à frente de Squirtle porque possui velocidade 109.3% maior.</x:v>
      </x:c>
      <x:c r="Y53" s="154" t="str">
        <x:v>https://poke.idleworld.online/pokepedia/pokemon/poliwag</x:v>
      </x:c>
    </x:row>
    <x:row r="54" ht="48" customHeight="1">
      <x:c r="A54" s="82" t="n">
        <x:f>IF(U54&lt;&gt;"Rankeado","",COUNTIFS($U$5:$U$61,"Rankeado",$I$5:$I$61,"&gt;"&amp;I54)+COUNTIFS($U$5:U54,"Rankeado",$I$5:I54,I54))</x:f>
        <x:v>50</x:v>
      </x:c>
      <x:c r="B54" s="82" t="n">
        <x:f>COUNTIF($I$5:$I$61,"&gt;"&amp;I54)+COUNTIF($I$5:I54,I54)</x:f>
        <x:v>52</x:v>
      </x:c>
      <x:c r="C54" s="82" t="str">
        <x:f>IF(I54&gt;=80,"S+",IF(I54&gt;=72,"S",IF(I54&gt;=65,"A",IF(I54&gt;=58,"B",IF(I54&gt;=50,"C",IF(I54&gt;=42,"D","E"))))))</x:f>
        <x:v>E</x:v>
      </x:c>
      <x:c r="D54" s="82" t="str">
        <x:f>IF(AND(U54="Rankeado",A54&lt;=6),"Sim","Não")</x:f>
        <x:v>Não</x:v>
      </x:c>
      <x:c r="E54" s="82" t="n">
        <x:v>7</x:v>
      </x:c>
      <x:c r="F54" s="80" t="str">
        <x:v>Squirtle</x:v>
      </x:c>
      <x:c r="G54" s="82" t="str">
        <x:v>Água</x:v>
      </x:c>
      <x:c r="H54" s="82" t="str">
        <x:v>Misto</x:v>
      </x:c>
      <x:c r="I54" s="142" t="n">
        <x:f>ROUND(100*(Metodologia!$B$17*(Q54/Metodologia!$B$22)+Metodologia!$B$18*(R54/Metodologia!$B$23)+Metodologia!$B$19*(S54/Metodologia!$B$24)+Metodologia!$B$20*(P54/Metodologia!$B$25)+Metodologia!$B$21*(J54/Metodologia!$B$26)),2)</x:f>
        <x:v>34.9</x:v>
      </x:c>
      <x:c r="J54" s="82" t="n">
        <x:f>SUM(K54:P54)</x:f>
        <x:v>314</x:v>
      </x:c>
      <x:c r="K54" s="82" t="n">
        <x:v>44</x:v>
      </x:c>
      <x:c r="L54" s="82" t="n">
        <x:v>48</x:v>
      </x:c>
      <x:c r="M54" s="82" t="n">
        <x:v>65</x:v>
      </x:c>
      <x:c r="N54" s="82" t="n">
        <x:v>50</x:v>
      </x:c>
      <x:c r="O54" s="82" t="n">
        <x:v>64</x:v>
      </x:c>
      <x:c r="P54" s="82" t="n">
        <x:v>43</x:v>
      </x:c>
      <x:c r="Q54" s="143" t="n">
        <x:f>MAX(L54,N54)*Metodologia!$B$16</x:f>
        <x:v>65</x:v>
      </x:c>
      <x:c r="R54" s="143" t="n">
        <x:f>MIN(L54,N54)*Metodologia!$B$16</x:f>
        <x:v>62.400000000000006</x:v>
      </x:c>
      <x:c r="S54" s="143" t="n">
        <x:f>SQRT(K54*AVERAGE(M54,O54)*Metodologia!$B$16)</x:f>
        <x:v>60.74043134519214</x:v>
      </x:c>
      <x:c r="T54" s="82" t="str">
        <x:v>Sim</x:v>
      </x:c>
      <x:c r="U54" s="82" t="str">
        <x:v>Rankeado</x:v>
      </x:c>
      <x:c r="V54" s="82" t="str">
        <x:v>Perfil misto; melhor atributo ofensivo 50, ofensiva secundária 48, robustez relativa 39% e Speed 43. O índice privilegia dano de hunt, sem ignorar sobrevivência.</x:v>
      </x:c>
      <x:c r="W54" s="82" t="str">
        <x:v>Fica atrás de Poliwag principalmente por velocidade 52.2% menor.</x:v>
      </x:c>
      <x:c r="X54" s="82" t="str">
        <x:v>Fica à frente de Seel porque possui teto ofensivo 11.1% maior e ofensiva secundária 6.7% maior.</x:v>
      </x:c>
      <x:c r="Y54" s="154" t="str">
        <x:v>https://poke.idleworld.online/pokepedia/pokemon/squirtle</x:v>
      </x:c>
    </x:row>
    <x:row r="55" ht="48" customHeight="1">
      <x:c r="A55" s="82" t="n">
        <x:f>IF(U55&lt;&gt;"Rankeado","",COUNTIFS($U$5:$U$61,"Rankeado",$I$5:$I$61,"&gt;"&amp;I55)+COUNTIFS($U$5:U55,"Rankeado",$I$5:I55,I55))</x:f>
        <x:v>51</x:v>
      </x:c>
      <x:c r="B55" s="82" t="n">
        <x:f>COUNTIF($I$5:$I$61,"&gt;"&amp;I55)+COUNTIF($I$5:I55,I55)</x:f>
        <x:v>53</x:v>
      </x:c>
      <x:c r="C55" s="82" t="str">
        <x:f>IF(I55&gt;=80,"S+",IF(I55&gt;=72,"S",IF(I55&gt;=65,"A",IF(I55&gt;=58,"B",IF(I55&gt;=50,"C",IF(I55&gt;=42,"D","E"))))))</x:f>
        <x:v>E</x:v>
      </x:c>
      <x:c r="D55" s="82" t="str">
        <x:f>IF(AND(U55="Rankeado",A55&lt;=6),"Sim","Não")</x:f>
        <x:v>Não</x:v>
      </x:c>
      <x:c r="E55" s="82" t="n">
        <x:v>86</x:v>
      </x:c>
      <x:c r="F55" s="80" t="str">
        <x:v>Seel</x:v>
      </x:c>
      <x:c r="G55" s="82" t="str">
        <x:v>Água</x:v>
      </x:c>
      <x:c r="H55" s="82" t="str">
        <x:v>Misto</x:v>
      </x:c>
      <x:c r="I55" s="142" t="n">
        <x:f>ROUND(100*(Metodologia!$B$17*(Q55/Metodologia!$B$22)+Metodologia!$B$18*(R55/Metodologia!$B$23)+Metodologia!$B$19*(S55/Metodologia!$B$24)+Metodologia!$B$20*(P55/Metodologia!$B$25)+Metodologia!$B$21*(J55/Metodologia!$B$26)),2)</x:f>
        <x:v>34.04</x:v>
      </x:c>
      <x:c r="J55" s="82" t="n">
        <x:f>SUM(K55:P55)</x:f>
        <x:v>325</x:v>
      </x:c>
      <x:c r="K55" s="82" t="n">
        <x:v>65</x:v>
      </x:c>
      <x:c r="L55" s="82" t="n">
        <x:v>45</x:v>
      </x:c>
      <x:c r="M55" s="82" t="n">
        <x:v>55</x:v>
      </x:c>
      <x:c r="N55" s="82" t="n">
        <x:v>45</x:v>
      </x:c>
      <x:c r="O55" s="82" t="n">
        <x:v>70</x:v>
      </x:c>
      <x:c r="P55" s="82" t="n">
        <x:v>45</x:v>
      </x:c>
      <x:c r="Q55" s="143" t="n">
        <x:f>MAX(L55,N55)*Metodologia!$B$16</x:f>
        <x:v>58.5</x:v>
      </x:c>
      <x:c r="R55" s="143" t="n">
        <x:f>MIN(L55,N55)*Metodologia!$B$16</x:f>
        <x:v>58.5</x:v>
      </x:c>
      <x:c r="S55" s="143" t="n">
        <x:f>SQRT(K55*AVERAGE(M55,O55)*Metodologia!$B$16)</x:f>
        <x:v>72.67220926874316</x:v>
      </x:c>
      <x:c r="T55" s="82" t="str">
        <x:v>Sim</x:v>
      </x:c>
      <x:c r="U55" s="82" t="str">
        <x:v>Rankeado</x:v>
      </x:c>
      <x:c r="V55" s="82" t="str">
        <x:v>Perfil misto; melhor atributo ofensivo 45, ofensiva secundária 45, robustez relativa 47% e Speed 45. O índice privilegia dano de hunt, sem ignorar sobrevivência.</x:v>
      </x:c>
      <x:c r="W55" s="82" t="str">
        <x:v>Fica atrás de Squirtle principalmente por teto ofensivo 10.0% menor e ofensiva secundária 6.3% menor.</x:v>
      </x:c>
      <x:c r="X55" s="82" t="str">
        <x:v>Fica à frente de Swinub porque possui robustez sustentada 52.4% maior e ofensiva secundária 50.0% maior.</x:v>
      </x:c>
      <x:c r="Y55" s="154" t="str">
        <x:v>https://poke.idleworld.online/pokepedia/pokemon/seel</x:v>
      </x:c>
    </x:row>
    <x:row r="56" ht="48" customHeight="1">
      <x:c r="A56" s="82" t="n">
        <x:f>IF(U56&lt;&gt;"Rankeado","",COUNTIFS($U$5:$U$61,"Rankeado",$I$5:$I$61,"&gt;"&amp;I56)+COUNTIFS($U$5:U56,"Rankeado",$I$5:I56,I56))</x:f>
        <x:v>52</x:v>
      </x:c>
      <x:c r="B56" s="82" t="n">
        <x:f>COUNTIF($I$5:$I$61,"&gt;"&amp;I56)+COUNTIF($I$5:I56,I56)</x:f>
        <x:v>54</x:v>
      </x:c>
      <x:c r="C56" s="82" t="str">
        <x:f>IF(I56&gt;=80,"S+",IF(I56&gt;=72,"S",IF(I56&gt;=65,"A",IF(I56&gt;=58,"B",IF(I56&gt;=50,"C",IF(I56&gt;=42,"D","E"))))))</x:f>
        <x:v>E</x:v>
      </x:c>
      <x:c r="D56" s="82" t="str">
        <x:f>IF(AND(U56="Rankeado",A56&lt;=6),"Sim","Não")</x:f>
        <x:v>Não</x:v>
      </x:c>
      <x:c r="E56" s="82" t="n">
        <x:v>220</x:v>
      </x:c>
      <x:c r="F56" s="80" t="str">
        <x:v>Swinub</x:v>
      </x:c>
      <x:c r="G56" s="82" t="str">
        <x:v>Gelo / Terra</x:v>
      </x:c>
      <x:c r="H56" s="82" t="str">
        <x:v>Físico</x:v>
      </x:c>
      <x:c r="I56" s="142" t="n">
        <x:f>ROUND(100*(Metodologia!$B$17*(Q56/Metodologia!$B$22)+Metodologia!$B$18*(R56/Metodologia!$B$23)+Metodologia!$B$19*(S56/Metodologia!$B$24)+Metodologia!$B$20*(P56/Metodologia!$B$25)+Metodologia!$B$21*(J56/Metodologia!$B$26)),2)</x:f>
        <x:v>31.99</x:v>
      </x:c>
      <x:c r="J56" s="82" t="n">
        <x:f>SUM(K56:P56)</x:f>
        <x:v>250</x:v>
      </x:c>
      <x:c r="K56" s="82" t="n">
        <x:v>50</x:v>
      </x:c>
      <x:c r="L56" s="82" t="n">
        <x:v>50</x:v>
      </x:c>
      <x:c r="M56" s="82" t="n">
        <x:v>40</x:v>
      </x:c>
      <x:c r="N56" s="82" t="n">
        <x:v>30</x:v>
      </x:c>
      <x:c r="O56" s="82" t="n">
        <x:v>30</x:v>
      </x:c>
      <x:c r="P56" s="82" t="n">
        <x:v>50</x:v>
      </x:c>
      <x:c r="Q56" s="143" t="n">
        <x:f>MAX(L56,N56)*Metodologia!$B$16</x:f>
        <x:v>65</x:v>
      </x:c>
      <x:c r="R56" s="143" t="n">
        <x:f>MIN(L56,N56)*Metodologia!$B$16</x:f>
        <x:v>39</x:v>
      </x:c>
      <x:c r="S56" s="143" t="n">
        <x:f>SQRT(K56*AVERAGE(M56,O56)*Metodologia!$B$16)</x:f>
        <x:v>47.69696007084728</x:v>
      </x:c>
      <x:c r="T56" s="82" t="str">
        <x:v>Sim</x:v>
      </x:c>
      <x:c r="U56" s="82" t="str">
        <x:v>Rankeado</x:v>
      </x:c>
      <x:c r="V56" s="82" t="str">
        <x:v>Perfil físico; melhor atributo ofensivo 50, ofensiva secundária 30, robustez relativa 31% e Speed 50. O índice privilegia dano de hunt, sem ignorar sobrevivência.</x:v>
      </x:c>
      <x:c r="W56" s="82" t="str">
        <x:v>Fica atrás de Seel principalmente por robustez sustentada 34.4% menor e ofensiva secundária 33.3% menor.</x:v>
      </x:c>
      <x:c r="X56" s="82" t="str">
        <x:v>Fica à frente de Wooper porque possui velocidade 233.3% maior e teto ofensivo 11.1% maior.</x:v>
      </x:c>
      <x:c r="Y56" s="154" t="str">
        <x:v>https://poke.idleworld.online/pokepedia/pokemon/swinub</x:v>
      </x:c>
    </x:row>
    <x:row r="57" ht="48" customHeight="1">
      <x:c r="A57" s="82" t="n">
        <x:f>IF(U57&lt;&gt;"Rankeado","",COUNTIFS($U$5:$U$61,"Rankeado",$I$5:$I$61,"&gt;"&amp;I57)+COUNTIFS($U$5:U57,"Rankeado",$I$5:I57,I57))</x:f>
        <x:v>53</x:v>
      </x:c>
      <x:c r="B57" s="82" t="n">
        <x:f>COUNTIF($I$5:$I$61,"&gt;"&amp;I57)+COUNTIF($I$5:I57,I57)</x:f>
        <x:v>55</x:v>
      </x:c>
      <x:c r="C57" s="82" t="str">
        <x:f>IF(I57&gt;=80,"S+",IF(I57&gt;=72,"S",IF(I57&gt;=65,"A",IF(I57&gt;=58,"B",IF(I57&gt;=50,"C",IF(I57&gt;=42,"D","E"))))))</x:f>
        <x:v>E</x:v>
      </x:c>
      <x:c r="D57" s="82" t="str">
        <x:f>IF(AND(U57="Rankeado",A57&lt;=6),"Sim","Não")</x:f>
        <x:v>Não</x:v>
      </x:c>
      <x:c r="E57" s="82" t="n">
        <x:v>194</x:v>
      </x:c>
      <x:c r="F57" s="80" t="str">
        <x:v>Wooper</x:v>
      </x:c>
      <x:c r="G57" s="82" t="str">
        <x:v>Água / Terra</x:v>
      </x:c>
      <x:c r="H57" s="82" t="str">
        <x:v>Físico</x:v>
      </x:c>
      <x:c r="I57" s="142" t="n">
        <x:f>ROUND(100*(Metodologia!$B$17*(Q57/Metodologia!$B$22)+Metodologia!$B$18*(R57/Metodologia!$B$23)+Metodologia!$B$19*(S57/Metodologia!$B$24)+Metodologia!$B$20*(P57/Metodologia!$B$25)+Metodologia!$B$21*(J57/Metodologia!$B$26)),2)</x:f>
        <x:v>27.19</x:v>
      </x:c>
      <x:c r="J57" s="82" t="n">
        <x:f>SUM(K57:P57)</x:f>
        <x:v>210</x:v>
      </x:c>
      <x:c r="K57" s="82" t="n">
        <x:v>55</x:v>
      </x:c>
      <x:c r="L57" s="82" t="n">
        <x:v>45</x:v>
      </x:c>
      <x:c r="M57" s="82" t="n">
        <x:v>45</x:v>
      </x:c>
      <x:c r="N57" s="82" t="n">
        <x:v>25</x:v>
      </x:c>
      <x:c r="O57" s="82" t="n">
        <x:v>25</x:v>
      </x:c>
      <x:c r="P57" s="82" t="n">
        <x:v>15</x:v>
      </x:c>
      <x:c r="Q57" s="143" t="n">
        <x:f>MAX(L57,N57)*Metodologia!$B$16</x:f>
        <x:v>58.5</x:v>
      </x:c>
      <x:c r="R57" s="143" t="n">
        <x:f>MIN(L57,N57)*Metodologia!$B$16</x:f>
        <x:v>32.5</x:v>
      </x:c>
      <x:c r="S57" s="143" t="n">
        <x:f>SQRT(K57*AVERAGE(M57,O57)*Metodologia!$B$16)</x:f>
        <x:v>50.02499375312305</x:v>
      </x:c>
      <x:c r="T57" s="82" t="str">
        <x:v>Não</x:v>
      </x:c>
      <x:c r="U57" s="82" t="str">
        <x:v>Rankeado</x:v>
      </x:c>
      <x:c r="V57" s="82" t="str">
        <x:v>Perfil físico; melhor atributo ofensivo 45, ofensiva secundária 25, robustez relativa 32% e Speed 15. O índice privilegia dano de hunt, sem ignorar sobrevivência.</x:v>
      </x:c>
      <x:c r="W57" s="82" t="str">
        <x:v>Fica atrás de Swinub principalmente por velocidade 70.0% menor e teto ofensivo 10.0% menor.</x:v>
      </x:c>
      <x:c r="X57" s="82" t="str">
        <x:v>Fica à frente de Marill porque possui teto ofensivo 125.0% maior e ofensiva secundária 25.0% maior.</x:v>
      </x:c>
      <x:c r="Y57" s="154" t="str">
        <x:v>https://poke.idleworld.online/pokepedia/pokemon/wooper</x:v>
      </x:c>
    </x:row>
    <x:row r="58" ht="48" customHeight="1">
      <x:c r="A58" s="82" t="n">
        <x:f>IF(U58&lt;&gt;"Rankeado","",COUNTIFS($U$5:$U$61,"Rankeado",$I$5:$I$61,"&gt;"&amp;I58)+COUNTIFS($U$5:U58,"Rankeado",$I$5:I58,I58))</x:f>
        <x:v>54</x:v>
      </x:c>
      <x:c r="B58" s="82" t="n">
        <x:f>COUNTIF($I$5:$I$61,"&gt;"&amp;I58)+COUNTIF($I$5:I58,I58)</x:f>
        <x:v>56</x:v>
      </x:c>
      <x:c r="C58" s="82" t="str">
        <x:f>IF(I58&gt;=80,"S+",IF(I58&gt;=72,"S",IF(I58&gt;=65,"A",IF(I58&gt;=58,"B",IF(I58&gt;=50,"C",IF(I58&gt;=42,"D","E"))))))</x:f>
        <x:v>E</x:v>
      </x:c>
      <x:c r="D58" s="82" t="str">
        <x:f>IF(AND(U58="Rankeado",A58&lt;=6),"Sim","Não")</x:f>
        <x:v>Não</x:v>
      </x:c>
      <x:c r="E58" s="82" t="n">
        <x:v>183</x:v>
      </x:c>
      <x:c r="F58" s="80" t="str">
        <x:v>Marill</x:v>
      </x:c>
      <x:c r="G58" s="82" t="str">
        <x:v>Água / Fada</x:v>
      </x:c>
      <x:c r="H58" s="82" t="str">
        <x:v>Misto</x:v>
      </x:c>
      <x:c r="I58" s="142" t="n">
        <x:f>ROUND(100*(Metodologia!$B$17*(Q58/Metodologia!$B$22)+Metodologia!$B$18*(R58/Metodologia!$B$23)+Metodologia!$B$19*(S58/Metodologia!$B$24)+Metodologia!$B$20*(P58/Metodologia!$B$25)+Metodologia!$B$21*(J58/Metodologia!$B$26)),2)</x:f>
        <x:v>20.64</x:v>
      </x:c>
      <x:c r="J58" s="82" t="n">
        <x:f>SUM(K58:P58)</x:f>
        <x:v>250</x:v>
      </x:c>
      <x:c r="K58" s="82" t="n">
        <x:v>70</x:v>
      </x:c>
      <x:c r="L58" s="82" t="n">
        <x:v>20</x:v>
      </x:c>
      <x:c r="M58" s="82" t="n">
        <x:v>50</x:v>
      </x:c>
      <x:c r="N58" s="82" t="n">
        <x:v>20</x:v>
      </x:c>
      <x:c r="O58" s="82" t="n">
        <x:v>50</x:v>
      </x:c>
      <x:c r="P58" s="82" t="n">
        <x:v>40</x:v>
      </x:c>
      <x:c r="Q58" s="143" t="n">
        <x:f>MAX(L58,N58)*Metodologia!$B$16</x:f>
        <x:v>26</x:v>
      </x:c>
      <x:c r="R58" s="143" t="n">
        <x:f>MIN(L58,N58)*Metodologia!$B$16</x:f>
        <x:v>26</x:v>
      </x:c>
      <x:c r="S58" s="143" t="n">
        <x:f>SQRT(K58*AVERAGE(M58,O58)*Metodologia!$B$16)</x:f>
        <x:v>67.45368781616021</x:v>
      </x:c>
      <x:c r="T58" s="82" t="str">
        <x:v>Sim</x:v>
      </x:c>
      <x:c r="U58" s="82" t="str">
        <x:v>Rankeado</x:v>
      </x:c>
      <x:c r="V58" s="82" t="str">
        <x:v>Perfil misto; melhor atributo ofensivo 20, ofensiva secundária 20, robustez relativa 44% e Speed 40. O índice privilegia dano de hunt, sem ignorar sobrevivência.</x:v>
      </x:c>
      <x:c r="W58" s="82" t="str">
        <x:v>Fica atrás de Wooper principalmente por teto ofensivo 55.6% menor e ofensiva secundária 20.0% menor.</x:v>
      </x:c>
      <x:c r="X58" s="82" t="str">
        <x:v>Fica à frente de Magikarp porque possui robustez sustentada 116.0% maior e teto ofensivo 33.3% maior.</x:v>
      </x:c>
      <x:c r="Y58" s="154" t="str">
        <x:v>https://poke.idleworld.online/pokepedia/pokemon/marill</x:v>
      </x:c>
    </x:row>
    <x:row r="59" ht="48" customHeight="1">
      <x:c r="A59" s="82" t="n">
        <x:f>IF(U59&lt;&gt;"Rankeado","",COUNTIFS($U$5:$U$61,"Rankeado",$I$5:$I$61,"&gt;"&amp;I59)+COUNTIFS($U$5:U59,"Rankeado",$I$5:I59,I59))</x:f>
        <x:v>55</x:v>
      </x:c>
      <x:c r="B59" s="82" t="n">
        <x:f>COUNTIF($I$5:$I$61,"&gt;"&amp;I59)+COUNTIF($I$5:I59,I59)</x:f>
        <x:v>57</x:v>
      </x:c>
      <x:c r="C59" s="82" t="str">
        <x:f>IF(I59&gt;=80,"S+",IF(I59&gt;=72,"S",IF(I59&gt;=65,"A",IF(I59&gt;=58,"B",IF(I59&gt;=50,"C",IF(I59&gt;=42,"D","E"))))))</x:f>
        <x:v>E</x:v>
      </x:c>
      <x:c r="D59" s="82" t="str">
        <x:f>IF(AND(U59="Rankeado",A59&lt;=6),"Sim","Não")</x:f>
        <x:v>Não</x:v>
      </x:c>
      <x:c r="E59" s="82" t="n">
        <x:v>129</x:v>
      </x:c>
      <x:c r="F59" s="80" t="str">
        <x:v>Magikarp</x:v>
      </x:c>
      <x:c r="G59" s="82" t="str">
        <x:v>Água</x:v>
      </x:c>
      <x:c r="H59" s="82" t="str">
        <x:v>Misto</x:v>
      </x:c>
      <x:c r="I59" s="142" t="n">
        <x:f>ROUND(100*(Metodologia!$B$17*(Q59/Metodologia!$B$22)+Metodologia!$B$18*(R59/Metodologia!$B$23)+Metodologia!$B$19*(S59/Metodologia!$B$24)+Metodologia!$B$20*(P59/Metodologia!$B$25)+Metodologia!$B$21*(J59/Metodologia!$B$26)),2)</x:f>
        <x:v>16.58</x:v>
      </x:c>
      <x:c r="J59" s="82" t="n">
        <x:f>SUM(K59:P59)</x:f>
        <x:v>200</x:v>
      </x:c>
      <x:c r="K59" s="82" t="n">
        <x:v>20</x:v>
      </x:c>
      <x:c r="L59" s="82" t="n">
        <x:v>10</x:v>
      </x:c>
      <x:c r="M59" s="82" t="n">
        <x:v>55</x:v>
      </x:c>
      <x:c r="N59" s="82" t="n">
        <x:v>15</x:v>
      </x:c>
      <x:c r="O59" s="82" t="n">
        <x:v>20</x:v>
      </x:c>
      <x:c r="P59" s="82" t="n">
        <x:v>80</x:v>
      </x:c>
      <x:c r="Q59" s="143" t="n">
        <x:f>MAX(L59,N59)*Metodologia!$B$16</x:f>
        <x:v>19.5</x:v>
      </x:c>
      <x:c r="R59" s="143" t="n">
        <x:f>MIN(L59,N59)*Metodologia!$B$16</x:f>
        <x:v>13</x:v>
      </x:c>
      <x:c r="S59" s="143" t="n">
        <x:f>SQRT(K59*AVERAGE(M59,O59)*Metodologia!$B$16)</x:f>
        <x:v>31.22498999199199</x:v>
      </x:c>
      <x:c r="T59" s="82" t="str">
        <x:v>Não</x:v>
      </x:c>
      <x:c r="U59" s="82" t="str">
        <x:v>Rankeado</x:v>
      </x:c>
      <x:c r="V59" s="82" t="str">
        <x:v>Perfil misto; melhor atributo ofensivo 15, ofensiva secundária 10, robustez relativa 20% e Speed 80. O índice privilegia dano de hunt, sem ignorar sobrevivência.</x:v>
      </x:c>
      <x:c r="W59" s="82" t="str">
        <x:v>Fica atrás de Marill principalmente por robustez sustentada 53.7% menor e teto ofensivo 25.0% menor.</x:v>
      </x:c>
      <x:c r="X59" s="82" t="str">
        <x:v>É o último utilizável deste clã.</x:v>
      </x:c>
      <x:c r="Y59" s="154" t="str">
        <x:v>https://poke.idleworld.online/pokepedia/pokemon/magikarp</x:v>
      </x:c>
    </x:row>
    <x:row r="60" ht="48" customHeight="1">
      <x:c r="A60" s="82" t="str">
        <x:f>IF(U60&lt;&gt;"Rankeado","",COUNTIFS($U$5:$U$61,"Rankeado",$I$5:$I$61,"&gt;"&amp;I60)+COUNTIFS($U$5:U60,"Rankeado",$I$5:I60,I60))</x:f>
      </x:c>
      <x:c r="B60" s="82" t="n">
        <x:f>COUNTIF($I$5:$I$61,"&gt;"&amp;I60)+COUNTIF($I$5:I60,I60)</x:f>
        <x:v>8</x:v>
      </x:c>
      <x:c r="C60" s="82" t="str">
        <x:f>IF(I60&gt;=80,"S+",IF(I60&gt;=72,"S",IF(I60&gt;=65,"A",IF(I60&gt;=58,"B",IF(I60&gt;=50,"C",IF(I60&gt;=42,"D","E"))))))</x:f>
        <x:v>A</x:v>
      </x:c>
      <x:c r="D60" s="82" t="str">
        <x:f>IF(AND(U60="Rankeado",A60&lt;=6),"Sim","Não")</x:f>
        <x:v>Não</x:v>
      </x:c>
      <x:c r="E60" s="82" t="n">
        <x:v>144</x:v>
      </x:c>
      <x:c r="F60" s="80" t="str">
        <x:v>Articuno</x:v>
      </x:c>
      <x:c r="G60" s="82" t="str">
        <x:v>Gelo / Voador</x:v>
      </x:c>
      <x:c r="H60" s="82" t="str">
        <x:v>Misto</x:v>
      </x:c>
      <x:c r="I60" s="142" t="n">
        <x:f>ROUND(100*(Metodologia!$B$17*(Q60/Metodologia!$B$22)+Metodologia!$B$18*(R60/Metodologia!$B$23)+Metodologia!$B$19*(S60/Metodologia!$B$24)+Metodologia!$B$20*(P60/Metodologia!$B$25)+Metodologia!$B$21*(J60/Metodologia!$B$26)),2)</x:f>
        <x:v>65.77</x:v>
      </x:c>
      <x:c r="J60" s="82" t="n">
        <x:f>SUM(K60:P60)</x:f>
        <x:v>580</x:v>
      </x:c>
      <x:c r="K60" s="82" t="n">
        <x:v>90</x:v>
      </x:c>
      <x:c r="L60" s="82" t="n">
        <x:v>85</x:v>
      </x:c>
      <x:c r="M60" s="82" t="n">
        <x:v>100</x:v>
      </x:c>
      <x:c r="N60" s="82" t="n">
        <x:v>95</x:v>
      </x:c>
      <x:c r="O60" s="82" t="n">
        <x:v>125</x:v>
      </x:c>
      <x:c r="P60" s="82" t="n">
        <x:v>85</x:v>
      </x:c>
      <x:c r="Q60" s="143" t="n">
        <x:f>MAX(L60,N60)*Metodologia!$B$16</x:f>
        <x:v>123.5</x:v>
      </x:c>
      <x:c r="R60" s="143" t="n">
        <x:f>MIN(L60,N60)*Metodologia!$B$16</x:f>
        <x:v>110.5</x:v>
      </x:c>
      <x:c r="S60" s="143" t="n">
        <x:f>SQRT(K60*AVERAGE(M60,O60)*Metodologia!$B$16)</x:f>
        <x:v>114.72793905583765</x:v>
      </x:c>
      <x:c r="T60" s="82" t="str">
        <x:v>Não</x:v>
      </x:c>
      <x:c r="U60" s="82" t="str">
        <x:v>Excluído — lendário/mítico</x:v>
      </x:c>
      <x:c r="V60" s="82" t="str">
        <x:v>Espécie lendária/mítica: mantida na auditoria, mas fora do time utilizável solicitado.</x:v>
      </x:c>
      <x:c r="W60" s="82" t="str"/>
      <x:c r="X60" s="82" t="str"/>
      <x:c r="Y60" s="154" t="str">
        <x:v>https://poke.idleworld.online/pokepedia/pokemon/articuno</x:v>
      </x:c>
    </x:row>
    <x:row r="61" ht="48" customHeight="1">
      <x:c r="A61" s="86" t="str">
        <x:f>IF(U61&lt;&gt;"Rankeado","",COUNTIFS($U$5:$U$61,"Rankeado",$I$5:$I$61,"&gt;"&amp;I61)+COUNTIFS($U$5:U61,"Rankeado",$I$5:I61,I61))</x:f>
      </x:c>
      <x:c r="B61" s="86" t="n">
        <x:f>COUNTIF($I$5:$I$61,"&gt;"&amp;I61)+COUNTIF($I$5:I61,I61)</x:f>
        <x:v>12</x:v>
      </x:c>
      <x:c r="C61" s="86" t="str">
        <x:f>IF(I61&gt;=80,"S+",IF(I61&gt;=72,"S",IF(I61&gt;=65,"A",IF(I61&gt;=58,"B",IF(I61&gt;=50,"C",IF(I61&gt;=42,"D","E"))))))</x:f>
        <x:v>B</x:v>
      </x:c>
      <x:c r="D61" s="86" t="str">
        <x:f>IF(AND(U61="Rankeado",A61&lt;=6),"Sim","Não")</x:f>
        <x:v>Não</x:v>
      </x:c>
      <x:c r="E61" s="86" t="n">
        <x:v>245</x:v>
      </x:c>
      <x:c r="F61" s="84" t="str">
        <x:v>Suicune</x:v>
      </x:c>
      <x:c r="G61" s="86" t="str">
        <x:v>Água</x:v>
      </x:c>
      <x:c r="H61" s="86" t="str">
        <x:v>Especial</x:v>
      </x:c>
      <x:c r="I61" s="145" t="n">
        <x:f>ROUND(100*(Metodologia!$B$17*(Q61/Metodologia!$B$22)+Metodologia!$B$18*(R61/Metodologia!$B$23)+Metodologia!$B$19*(S61/Metodologia!$B$24)+Metodologia!$B$20*(P61/Metodologia!$B$25)+Metodologia!$B$21*(J61/Metodologia!$B$26)),2)</x:f>
        <x:v>63.64</x:v>
      </x:c>
      <x:c r="J61" s="86" t="n">
        <x:f>SUM(K61:P61)</x:f>
        <x:v>580</x:v>
      </x:c>
      <x:c r="K61" s="86" t="n">
        <x:v>100</x:v>
      </x:c>
      <x:c r="L61" s="86" t="n">
        <x:v>75</x:v>
      </x:c>
      <x:c r="M61" s="86" t="n">
        <x:v>115</x:v>
      </x:c>
      <x:c r="N61" s="86" t="n">
        <x:v>90</x:v>
      </x:c>
      <x:c r="O61" s="86" t="n">
        <x:v>115</x:v>
      </x:c>
      <x:c r="P61" s="86" t="n">
        <x:v>85</x:v>
      </x:c>
      <x:c r="Q61" s="146" t="n">
        <x:f>MAX(L61,N61)*Metodologia!$B$16</x:f>
        <x:v>117</x:v>
      </x:c>
      <x:c r="R61" s="146" t="n">
        <x:f>MIN(L61,N61)*Metodologia!$B$16</x:f>
        <x:v>97.5</x:v>
      </x:c>
      <x:c r="S61" s="146" t="n">
        <x:f>SQRT(K61*AVERAGE(M61,O61)*Metodologia!$B$16)</x:f>
        <x:v>122.27019260637483</x:v>
      </x:c>
      <x:c r="T61" s="86" t="str">
        <x:v>Não</x:v>
      </x:c>
      <x:c r="U61" s="86" t="str">
        <x:v>Excluído — lendário/mítico</x:v>
      </x:c>
      <x:c r="V61" s="86" t="str">
        <x:v>Espécie lendária/mítica: mantida na auditoria, mas fora do time utilizável solicitado.</x:v>
      </x:c>
      <x:c r="W61" s="86" t="str"/>
      <x:c r="X61" s="86" t="str"/>
      <x:c r="Y61" s="155" t="str">
        <x:v>https://poke.idleworld.online/pokepedia/pokemon/suicune</x:v>
      </x:c>
    </x:row>
  </x:sheetData>
  <x:mergeCells>
    <x:mergeCell ref="A1:Y1"/>
    <x:mergeCell ref="A2:Y2"/>
  </x:mergeCells>
  <x:conditionalFormatting sqref="I5:I61">
    <x:cfRule type="colorScale" priority="1">
      <x:colorScale>
        <x:cfvo type="min"/>
        <x:cfvo type="percentile" val="50"/>
        <x:cfvo type="max"/>
        <x:color rgb="FF6B1F1A"/>
        <x:color rgb="FFD98350"/>
        <x:color rgb="FF5F9D62"/>
      </x:colorScale>
    </x:cfRule>
  </x:conditionalFormatting>
  <x:conditionalFormatting sqref="A5:Y61">
    <x:cfRule type="expression" dxfId="16" priority="2">
      <x:formula>AND($D5="Sim",$U5="Rankeado")</x:formula>
    </x:cfRule>
    <x:cfRule type="expression" dxfId="17" priority="3">
      <x:formula>$U5="Excluído — lendário/mítico"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387eb016d94e3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8" hidden="0" customWidth="1"/>
    <x:col min="4" max="4" width="10" hidden="0" customWidth="1"/>
    <x:col min="5" max="5" width="7" hidden="0" customWidth="1"/>
    <x:col min="6" max="6" width="20" hidden="0" customWidth="1"/>
    <x:col min="7" max="7" width="22" hidden="0" customWidth="1"/>
    <x:col min="8" max="8" width="12" hidden="0" customWidth="1"/>
    <x:col min="9" max="9" width="11" hidden="0" customWidth="1"/>
    <x:col min="10" max="10" width="9" hidden="0" customWidth="1"/>
    <x:col min="11" max="11" width="8" hidden="0" customWidth="1"/>
    <x:col min="12" max="12" width="8" hidden="0" customWidth="1"/>
    <x:col min="13" max="13" width="8" hidden="0" customWidth="1"/>
    <x:col min="14" max="14" width="10" hidden="0" customWidth="1"/>
    <x:col min="15" max="15" width="10" hidden="0" customWidth="1"/>
    <x:col min="16" max="16" width="9" hidden="0" customWidth="1"/>
    <x:col min="17" max="17" width="18" hidden="0" customWidth="1"/>
    <x:col min="18" max="18" width="21" hidden="0" customWidth="1"/>
    <x:col min="19" max="19" width="16" hidden="0" customWidth="1"/>
    <x:col min="20" max="20" width="13" hidden="0" customWidth="1"/>
    <x:col min="21" max="21" width="23" hidden="0" customWidth="1"/>
    <x:col min="22" max="22" width="48" hidden="0" customWidth="1"/>
    <x:col min="23" max="23" width="52" hidden="0" customWidth="1"/>
    <x:col min="24" max="24" width="52" hidden="0" customWidth="1"/>
    <x:col min="25" max="25" width="56" hidden="0" customWidth="1"/>
  </x:cols>
  <x:sheetData>
    <x:row r="1" ht="34" customHeight="1">
      <x:c r="A1" s="5" t="str">
        <x:v>Malefic · ranking completo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 ht="24" customHeight="1">
      <x:c r="A2" s="12" t="str">
        <x:v>Fantasma / Sombrio / Veneno · 44 utilizáveis · time recomendado: Tyranitar · Gengar · Houndoom · Victreebel · Vileplume · Nidoking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</x:row>
    <x:row r="4">
      <x:c r="A4" s="115" t="str">
        <x:v>Posição</x:v>
      </x:c>
      <x:c r="B4" s="115" t="str">
        <x:v>Rank teórico</x:v>
      </x:c>
      <x:c r="C4" s="115" t="str">
        <x:v>Tier</x:v>
      </x:c>
      <x:c r="D4" s="115" t="str">
        <x:v>Time 6</x:v>
      </x:c>
      <x:c r="E4" s="115" t="str">
        <x:v>#</x:v>
      </x:c>
      <x:c r="F4" s="115" t="str">
        <x:v>Pokémon</x:v>
      </x:c>
      <x:c r="G4" s="115" t="str">
        <x:v>Tipos</x:v>
      </x:c>
      <x:c r="H4" s="115" t="str">
        <x:v>Perfil</x:v>
      </x:c>
      <x:c r="I4" s="115" t="str">
        <x:v>Score</x:v>
      </x:c>
      <x:c r="J4" s="115" t="str">
        <x:v>BST</x:v>
      </x:c>
      <x:c r="K4" s="115" t="str">
        <x:v>HP</x:v>
      </x:c>
      <x:c r="L4" s="115" t="str">
        <x:v>ATK</x:v>
      </x:c>
      <x:c r="M4" s="115" t="str">
        <x:v>DEF</x:v>
      </x:c>
      <x:c r="N4" s="115" t="str">
        <x:v>Sp. ATK</x:v>
      </x:c>
      <x:c r="O4" s="115" t="str">
        <x:v>Sp. DEF</x:v>
      </x:c>
      <x:c r="P4" s="115" t="str">
        <x:v>Speed</x:v>
      </x:c>
      <x:c r="Q4" s="115" t="str">
        <x:v>Teto ofensivo R5</x:v>
      </x:c>
      <x:c r="R4" s="115" t="str">
        <x:v>Ofensiva secundária R5</x:v>
      </x:c>
      <x:c r="S4" s="115" t="str">
        <x:v>Robustez R5</x:v>
      </x:c>
      <x:c r="T4" s="115" t="str">
        <x:v>Hunt Kanto</x:v>
      </x:c>
      <x:c r="U4" s="115" t="str">
        <x:v>Status</x:v>
      </x:c>
      <x:c r="V4" s="115" t="str">
        <x:v>Leitura técnica</x:v>
      </x:c>
      <x:c r="W4" s="115" t="str">
        <x:v>Por que abaixo do anterior</x:v>
      </x:c>
      <x:c r="X4" s="115" t="str">
        <x:v>Por que acima do seguinte</x:v>
      </x:c>
      <x:c r="Y4" s="115" t="str">
        <x:v>Fonte</x:v>
      </x:c>
    </x:row>
    <x:row r="5" ht="48" customHeight="1">
      <x:c r="A5" s="82" t="n">
        <x:f>IF(U5&lt;&gt;"Rankeado","",COUNTIFS($U$5:$U$48,"Rankeado",$I$5:$I$48,"&gt;"&amp;I5)+COUNTIFS($U$5:U5,"Rankeado",$I$5:I5,I5))</x:f>
        <x:v>1</x:v>
      </x:c>
      <x:c r="B5" s="82" t="n">
        <x:f>COUNTIF($I$5:$I$48,"&gt;"&amp;I5)+COUNTIF($I$5:I5,I5)</x:f>
        <x:v>1</x:v>
      </x:c>
      <x:c r="C5" s="82" t="str">
        <x:f>IF(I5&gt;=80,"S+",IF(I5&gt;=72,"S",IF(I5&gt;=65,"A",IF(I5&gt;=58,"B",IF(I5&gt;=50,"C",IF(I5&gt;=42,"D","E"))))))</x:f>
        <x:v>S+</x:v>
      </x:c>
      <x:c r="D5" s="82" t="str">
        <x:f>IF(AND(U5="Rankeado",A5&lt;=6),"Sim","Não")</x:f>
        <x:v>Sim</x:v>
      </x:c>
      <x:c r="E5" s="82" t="n">
        <x:v>248</x:v>
      </x:c>
      <x:c r="F5" s="80" t="str">
        <x:v>Tyranitar</x:v>
      </x:c>
      <x:c r="G5" s="82" t="str">
        <x:v>Pedra / Sombrio</x:v>
      </x:c>
      <x:c r="H5" s="82" t="str">
        <x:v>Físico</x:v>
      </x:c>
      <x:c r="I5" s="142" t="n">
        <x:f>ROUND(100*(Metodologia!$B$17*(Q5/Metodologia!$B$22)+Metodologia!$B$18*(R5/Metodologia!$B$23)+Metodologia!$B$19*(S5/Metodologia!$B$24)+Metodologia!$B$20*(P5/Metodologia!$B$25)+Metodologia!$B$21*(J5/Metodologia!$B$26)),2)</x:f>
        <x:v>80.63</x:v>
      </x:c>
      <x:c r="J5" s="82" t="n">
        <x:f>SUM(K5:P5)</x:f>
        <x:v>600</x:v>
      </x:c>
      <x:c r="K5" s="82" t="n">
        <x:v>100</x:v>
      </x:c>
      <x:c r="L5" s="82" t="n">
        <x:v>134</x:v>
      </x:c>
      <x:c r="M5" s="82" t="n">
        <x:v>110</x:v>
      </x:c>
      <x:c r="N5" s="82" t="n">
        <x:v>95</x:v>
      </x:c>
      <x:c r="O5" s="82" t="n">
        <x:v>100</x:v>
      </x:c>
      <x:c r="P5" s="82" t="n">
        <x:v>61</x:v>
      </x:c>
      <x:c r="Q5" s="143" t="n">
        <x:f>MAX(L5,N5)*Metodologia!$B$16</x:f>
        <x:v>174.20000000000002</x:v>
      </x:c>
      <x:c r="R5" s="143" t="n">
        <x:f>MIN(L5,N5)*Metodologia!$B$16</x:f>
        <x:v>123.5</x:v>
      </x:c>
      <x:c r="S5" s="143" t="n">
        <x:f>SQRT(K5*AVERAGE(M5,O5)*Metodologia!$B$16)</x:f>
        <x:v>116.83321445547922</x:v>
      </x:c>
      <x:c r="T5" s="82" t="str">
        <x:v>Sim</x:v>
      </x:c>
      <x:c r="U5" s="82" t="str">
        <x:v>Rankeado</x:v>
      </x:c>
      <x:c r="V5" s="82" t="str">
        <x:v>Perfil físico; melhor atributo ofensivo 134, ofensiva secundária 95, robustez relativa 75% e Speed 61. O índice privilegia dano de hunt, sem ignorar sobrevivência.</x:v>
      </x:c>
      <x:c r="W5" s="82" t="str">
        <x:v>É o líder do clã no modelo.</x:v>
      </x:c>
      <x:c r="X5" s="82" t="str">
        <x:v>Fica à frente de Gengar porque possui robustez sustentada 61.0% maior e ofensiva secundária 46.2% maior.</x:v>
      </x:c>
      <x:c r="Y5" s="154" t="str">
        <x:v>https://poke.idleworld.online/pokepedia/pokemon/tyranitar</x:v>
      </x:c>
    </x:row>
    <x:row r="6" ht="48" customHeight="1">
      <x:c r="A6" s="82" t="n">
        <x:f>IF(U6&lt;&gt;"Rankeado","",COUNTIFS($U$5:$U$48,"Rankeado",$I$5:$I$48,"&gt;"&amp;I6)+COUNTIFS($U$5:U6,"Rankeado",$I$5:I6,I6))</x:f>
        <x:v>2</x:v>
      </x:c>
      <x:c r="B6" s="82" t="n">
        <x:f>COUNTIF($I$5:$I$48,"&gt;"&amp;I6)+COUNTIF($I$5:I6,I6)</x:f>
        <x:v>2</x:v>
      </x:c>
      <x:c r="C6" s="82" t="str">
        <x:f>IF(I6&gt;=80,"S+",IF(I6&gt;=72,"S",IF(I6&gt;=65,"A",IF(I6&gt;=58,"B",IF(I6&gt;=50,"C",IF(I6&gt;=42,"D","E"))))))</x:f>
        <x:v>S</x:v>
      </x:c>
      <x:c r="D6" s="82" t="str">
        <x:f>IF(AND(U6="Rankeado",A6&lt;=6),"Sim","Não")</x:f>
        <x:v>Sim</x:v>
      </x:c>
      <x:c r="E6" s="82" t="n">
        <x:v>94</x:v>
      </x:c>
      <x:c r="F6" s="80" t="str">
        <x:v>Gengar</x:v>
      </x:c>
      <x:c r="G6" s="82" t="str">
        <x:v>Fantasma / Veneno</x:v>
      </x:c>
      <x:c r="H6" s="82" t="str">
        <x:v>Especial</x:v>
      </x:c>
      <x:c r="I6" s="142" t="n">
        <x:f>ROUND(100*(Metodologia!$B$17*(Q6/Metodologia!$B$22)+Metodologia!$B$18*(R6/Metodologia!$B$23)+Metodologia!$B$19*(S6/Metodologia!$B$24)+Metodologia!$B$20*(P6/Metodologia!$B$25)+Metodologia!$B$21*(J6/Metodologia!$B$26)),2)</x:f>
        <x:v>74.59</x:v>
      </x:c>
      <x:c r="J6" s="82" t="n">
        <x:f>SUM(K6:P6)</x:f>
        <x:v>500</x:v>
      </x:c>
      <x:c r="K6" s="82" t="n">
        <x:v>60</x:v>
      </x:c>
      <x:c r="L6" s="82" t="n">
        <x:v>65</x:v>
      </x:c>
      <x:c r="M6" s="82" t="n">
        <x:v>60</x:v>
      </x:c>
      <x:c r="N6" s="82" t="n">
        <x:v>130</x:v>
      </x:c>
      <x:c r="O6" s="82" t="n">
        <x:v>75</x:v>
      </x:c>
      <x:c r="P6" s="82" t="n">
        <x:v>110</x:v>
      </x:c>
      <x:c r="Q6" s="143" t="n">
        <x:f>MAX(L6,N6)*Metodologia!$B$16</x:f>
        <x:v>169</x:v>
      </x:c>
      <x:c r="R6" s="143" t="n">
        <x:f>MIN(L6,N6)*Metodologia!$B$16</x:f>
        <x:v>84.5</x:v>
      </x:c>
      <x:c r="S6" s="143" t="n">
        <x:f>SQRT(K6*AVERAGE(M6,O6)*Metodologia!$B$16)</x:f>
        <x:v>72.56031973468694</x:v>
      </x:c>
      <x:c r="T6" s="82" t="str">
        <x:v>Sim</x:v>
      </x:c>
      <x:c r="U6" s="82" t="str">
        <x:v>Rankeado</x:v>
      </x:c>
      <x:c r="V6" s="82" t="str">
        <x:v>Perfil especial; melhor atributo ofensivo 130, ofensiva secundária 65, robustez relativa 47% e Speed 110. O índice privilegia dano de hunt, sem ignorar sobrevivência.</x:v>
      </x:c>
      <x:c r="W6" s="82" t="str">
        <x:v>Fica atrás de Tyranitar principalmente por robustez sustentada 37.9% menor e ofensiva secundária 31.6% menor.</x:v>
      </x:c>
      <x:c r="X6" s="82" t="str">
        <x:v>Fica à frente de Houndoom porque possui teto ofensivo 18.2% maior e velocidade 15.8% maior.</x:v>
      </x:c>
      <x:c r="Y6" s="154" t="str">
        <x:v>https://poke.idleworld.online/pokepedia/pokemon/gengar</x:v>
      </x:c>
    </x:row>
    <x:row r="7" ht="48" customHeight="1">
      <x:c r="A7" s="82" t="n">
        <x:f>IF(U7&lt;&gt;"Rankeado","",COUNTIFS($U$5:$U$48,"Rankeado",$I$5:$I$48,"&gt;"&amp;I7)+COUNTIFS($U$5:U7,"Rankeado",$I$5:I7,I7))</x:f>
        <x:v>3</x:v>
      </x:c>
      <x:c r="B7" s="82" t="n">
        <x:f>COUNTIF($I$5:$I$48,"&gt;"&amp;I7)+COUNTIF($I$5:I7,I7)</x:f>
        <x:v>3</x:v>
      </x:c>
      <x:c r="C7" s="82" t="str">
        <x:f>IF(I7&gt;=80,"S+",IF(I7&gt;=72,"S",IF(I7&gt;=65,"A",IF(I7&gt;=58,"B",IF(I7&gt;=50,"C",IF(I7&gt;=42,"D","E"))))))</x:f>
        <x:v>A</x:v>
      </x:c>
      <x:c r="D7" s="82" t="str">
        <x:f>IF(AND(U7="Rankeado",A7&lt;=6),"Sim","Não")</x:f>
        <x:v>Sim</x:v>
      </x:c>
      <x:c r="E7" s="82" t="n">
        <x:v>229</x:v>
      </x:c>
      <x:c r="F7" s="80" t="str">
        <x:v>Houndoom</x:v>
      </x:c>
      <x:c r="G7" s="82" t="str">
        <x:v>Sombrio / Fogo</x:v>
      </x:c>
      <x:c r="H7" s="82" t="str">
        <x:v>Especial</x:v>
      </x:c>
      <x:c r="I7" s="142" t="n">
        <x:f>ROUND(100*(Metodologia!$B$17*(Q7/Metodologia!$B$22)+Metodologia!$B$18*(R7/Metodologia!$B$23)+Metodologia!$B$19*(S7/Metodologia!$B$24)+Metodologia!$B$20*(P7/Metodologia!$B$25)+Metodologia!$B$21*(J7/Metodologia!$B$26)),2)</x:f>
        <x:v>68.75</x:v>
      </x:c>
      <x:c r="J7" s="82" t="n">
        <x:f>SUM(K7:P7)</x:f>
        <x:v>500</x:v>
      </x:c>
      <x:c r="K7" s="82" t="n">
        <x:v>75</x:v>
      </x:c>
      <x:c r="L7" s="82" t="n">
        <x:v>90</x:v>
      </x:c>
      <x:c r="M7" s="82" t="n">
        <x:v>50</x:v>
      </x:c>
      <x:c r="N7" s="82" t="n">
        <x:v>110</x:v>
      </x:c>
      <x:c r="O7" s="82" t="n">
        <x:v>80</x:v>
      </x:c>
      <x:c r="P7" s="82" t="n">
        <x:v>95</x:v>
      </x:c>
      <x:c r="Q7" s="143" t="n">
        <x:f>MAX(L7,N7)*Metodologia!$B$16</x:f>
        <x:v>143</x:v>
      </x:c>
      <x:c r="R7" s="143" t="n">
        <x:f>MIN(L7,N7)*Metodologia!$B$16</x:f>
        <x:v>117</x:v>
      </x:c>
      <x:c r="S7" s="143" t="n">
        <x:f>SQRT(K7*AVERAGE(M7,O7)*Metodologia!$B$16)</x:f>
        <x:v>79.60841664045329</x:v>
      </x:c>
      <x:c r="T7" s="82" t="str">
        <x:v>Sim</x:v>
      </x:c>
      <x:c r="U7" s="82" t="str">
        <x:v>Rankeado</x:v>
      </x:c>
      <x:c r="V7" s="82" t="str">
        <x:v>Perfil especial; melhor atributo ofensivo 110, ofensiva secundária 90, robustez relativa 51% e Speed 95. O índice privilegia dano de hunt, sem ignorar sobrevivência.</x:v>
      </x:c>
      <x:c r="W7" s="82" t="str">
        <x:v>Fica atrás de Gengar principalmente por teto ofensivo 15.4% menor e velocidade 13.6% menor.</x:v>
      </x:c>
      <x:c r="X7" s="82" t="str">
        <x:v>Fica à frente de Victreebel porque possui teto ofensivo 4.8% maior e velocidade 35.7% maior.</x:v>
      </x:c>
      <x:c r="Y7" s="154" t="str">
        <x:v>https://poke.idleworld.online/pokepedia/pokemon/houndoom</x:v>
      </x:c>
    </x:row>
    <x:row r="8" ht="48" customHeight="1">
      <x:c r="A8" s="82" t="n">
        <x:f>IF(U8&lt;&gt;"Rankeado","",COUNTIFS($U$5:$U$48,"Rankeado",$I$5:$I$48,"&gt;"&amp;I8)+COUNTIFS($U$5:U8,"Rankeado",$I$5:I8,I8))</x:f>
        <x:v>4</x:v>
      </x:c>
      <x:c r="B8" s="82" t="n">
        <x:f>COUNTIF($I$5:$I$48,"&gt;"&amp;I8)+COUNTIF($I$5:I8,I8)</x:f>
        <x:v>4</x:v>
      </x:c>
      <x:c r="C8" s="82" t="str">
        <x:f>IF(I8&gt;=80,"S+",IF(I8&gt;=72,"S",IF(I8&gt;=65,"A",IF(I8&gt;=58,"B",IF(I8&gt;=50,"C",IF(I8&gt;=42,"D","E"))))))</x:f>
        <x:v>A</x:v>
      </x:c>
      <x:c r="D8" s="82" t="str">
        <x:f>IF(AND(U8="Rankeado",A8&lt;=6),"Sim","Não")</x:f>
        <x:v>Sim</x:v>
      </x:c>
      <x:c r="E8" s="82" t="n">
        <x:v>71</x:v>
      </x:c>
      <x:c r="F8" s="80" t="str">
        <x:v>Victreebel</x:v>
      </x:c>
      <x:c r="G8" s="82" t="str">
        <x:v>Planta / Veneno</x:v>
      </x:c>
      <x:c r="H8" s="82" t="str">
        <x:v>Misto</x:v>
      </x:c>
      <x:c r="I8" s="142" t="n">
        <x:f>ROUND(100*(Metodologia!$B$17*(Q8/Metodologia!$B$22)+Metodologia!$B$18*(R8/Metodologia!$B$23)+Metodologia!$B$19*(S8/Metodologia!$B$24)+Metodologia!$B$20*(P8/Metodologia!$B$25)+Metodologia!$B$21*(J8/Metodologia!$B$26)),2)</x:f>
        <x:v>66.38</x:v>
      </x:c>
      <x:c r="J8" s="82" t="n">
        <x:f>SUM(K8:P8)</x:f>
        <x:v>490</x:v>
      </x:c>
      <x:c r="K8" s="82" t="n">
        <x:v>80</x:v>
      </x:c>
      <x:c r="L8" s="82" t="n">
        <x:v>105</x:v>
      </x:c>
      <x:c r="M8" s="82" t="n">
        <x:v>65</x:v>
      </x:c>
      <x:c r="N8" s="82" t="n">
        <x:v>100</x:v>
      </x:c>
      <x:c r="O8" s="82" t="n">
        <x:v>70</x:v>
      </x:c>
      <x:c r="P8" s="82" t="n">
        <x:v>70</x:v>
      </x:c>
      <x:c r="Q8" s="143" t="n">
        <x:f>MAX(L8,N8)*Metodologia!$B$16</x:f>
        <x:v>136.5</x:v>
      </x:c>
      <x:c r="R8" s="143" t="n">
        <x:f>MIN(L8,N8)*Metodologia!$B$16</x:f>
        <x:v>130</x:v>
      </x:c>
      <x:c r="S8" s="143" t="n">
        <x:f>SQRT(K8*AVERAGE(M8,O8)*Metodologia!$B$16)</x:f>
        <x:v>83.78544026261365</x:v>
      </x:c>
      <x:c r="T8" s="82" t="str">
        <x:v>Sim</x:v>
      </x:c>
      <x:c r="U8" s="82" t="str">
        <x:v>Rankeado</x:v>
      </x:c>
      <x:c r="V8" s="82" t="str">
        <x:v>Perfil misto; melhor atributo ofensivo 105, ofensiva secundária 100, robustez relativa 54% e Speed 70. O índice privilegia dano de hunt, sem ignorar sobrevivência.</x:v>
      </x:c>
      <x:c r="W8" s="82" t="str">
        <x:v>Fica atrás de Houndoom principalmente por teto ofensivo 4.5% menor e velocidade 26.3% menor.</x:v>
      </x:c>
      <x:c r="X8" s="82" t="str">
        <x:v>Fica à frente de Vileplume porque possui ofensiva secundária 25.0% maior e velocidade 40.0% maior.</x:v>
      </x:c>
      <x:c r="Y8" s="154" t="str">
        <x:v>https://poke.idleworld.online/pokepedia/pokemon/victreebel</x:v>
      </x:c>
    </x:row>
    <x:row r="9" ht="48" customHeight="1">
      <x:c r="A9" s="82" t="n">
        <x:f>IF(U9&lt;&gt;"Rankeado","",COUNTIFS($U$5:$U$48,"Rankeado",$I$5:$I$48,"&gt;"&amp;I9)+COUNTIFS($U$5:U9,"Rankeado",$I$5:I9,I9))</x:f>
        <x:v>5</x:v>
      </x:c>
      <x:c r="B9" s="82" t="n">
        <x:f>COUNTIF($I$5:$I$48,"&gt;"&amp;I9)+COUNTIF($I$5:I9,I9)</x:f>
        <x:v>5</x:v>
      </x:c>
      <x:c r="C9" s="82" t="str">
        <x:f>IF(I9&gt;=80,"S+",IF(I9&gt;=72,"S",IF(I9&gt;=65,"A",IF(I9&gt;=58,"B",IF(I9&gt;=50,"C",IF(I9&gt;=42,"D","E"))))))</x:f>
        <x:v>A</x:v>
      </x:c>
      <x:c r="D9" s="82" t="str">
        <x:f>IF(AND(U9="Rankeado",A9&lt;=6),"Sim","Não")</x:f>
        <x:v>Sim</x:v>
      </x:c>
      <x:c r="E9" s="82" t="n">
        <x:v>45</x:v>
      </x:c>
      <x:c r="F9" s="80" t="str">
        <x:v>Vileplume</x:v>
      </x:c>
      <x:c r="G9" s="82" t="str">
        <x:v>Planta / Veneno</x:v>
      </x:c>
      <x:c r="H9" s="82" t="str">
        <x:v>Especial</x:v>
      </x:c>
      <x:c r="I9" s="142" t="n">
        <x:f>ROUND(100*(Metodologia!$B$17*(Q9/Metodologia!$B$22)+Metodologia!$B$18*(R9/Metodologia!$B$23)+Metodologia!$B$19*(S9/Metodologia!$B$24)+Metodologia!$B$20*(P9/Metodologia!$B$25)+Metodologia!$B$21*(J9/Metodologia!$B$26)),2)</x:f>
        <x:v>66</x:v>
      </x:c>
      <x:c r="J9" s="82" t="n">
        <x:f>SUM(K9:P9)</x:f>
        <x:v>490</x:v>
      </x:c>
      <x:c r="K9" s="82" t="n">
        <x:v>75</x:v>
      </x:c>
      <x:c r="L9" s="82" t="n">
        <x:v>80</x:v>
      </x:c>
      <x:c r="M9" s="82" t="n">
        <x:v>85</x:v>
      </x:c>
      <x:c r="N9" s="82" t="n">
        <x:v>110</x:v>
      </x:c>
      <x:c r="O9" s="82" t="n">
        <x:v>90</x:v>
      </x:c>
      <x:c r="P9" s="82" t="n">
        <x:v>50</x:v>
      </x:c>
      <x:c r="Q9" s="143" t="n">
        <x:f>MAX(L9,N9)*Metodologia!$B$16</x:f>
        <x:v>143</x:v>
      </x:c>
      <x:c r="R9" s="143" t="n">
        <x:f>MIN(L9,N9)*Metodologia!$B$16</x:f>
        <x:v>104</x:v>
      </x:c>
      <x:c r="S9" s="143" t="n">
        <x:f>SQRT(K9*AVERAGE(M9,O9)*Metodologia!$B$16)</x:f>
        <x:v>92.36476600955584</x:v>
      </x:c>
      <x:c r="T9" s="82" t="str">
        <x:v>Sim</x:v>
      </x:c>
      <x:c r="U9" s="82" t="str">
        <x:v>Rankeado</x:v>
      </x:c>
      <x:c r="V9" s="82" t="str">
        <x:v>Perfil especial; melhor atributo ofensivo 110, ofensiva secundária 80, robustez relativa 60% e Speed 50. O índice privilegia dano de hunt, sem ignorar sobrevivência.</x:v>
      </x:c>
      <x:c r="W9" s="82" t="str">
        <x:v>Fica atrás de Victreebel principalmente por ofensiva secundária 20.0% menor e velocidade 28.6% menor.</x:v>
      </x:c>
      <x:c r="X9" s="82" t="str">
        <x:v>Fica à frente de Nidoking porque possui teto ofensivo 7.8% maior e robustez sustentada 3.2% maior.</x:v>
      </x:c>
      <x:c r="Y9" s="154" t="str">
        <x:v>https://poke.idleworld.online/pokepedia/pokemon/vileplume</x:v>
      </x:c>
    </x:row>
    <x:row r="10" ht="48" customHeight="1">
      <x:c r="A10" s="82" t="n">
        <x:f>IF(U10&lt;&gt;"Rankeado","",COUNTIFS($U$5:$U$48,"Rankeado",$I$5:$I$48,"&gt;"&amp;I10)+COUNTIFS($U$5:U10,"Rankeado",$I$5:I10,I10))</x:f>
        <x:v>6</x:v>
      </x:c>
      <x:c r="B10" s="82" t="n">
        <x:f>COUNTIF($I$5:$I$48,"&gt;"&amp;I10)+COUNTIF($I$5:I10,I10)</x:f>
        <x:v>6</x:v>
      </x:c>
      <x:c r="C10" s="82" t="str">
        <x:f>IF(I10&gt;=80,"S+",IF(I10&gt;=72,"S",IF(I10&gt;=65,"A",IF(I10&gt;=58,"B",IF(I10&gt;=50,"C",IF(I10&gt;=42,"D","E"))))))</x:f>
        <x:v>A</x:v>
      </x:c>
      <x:c r="D10" s="82" t="str">
        <x:f>IF(AND(U10="Rankeado",A10&lt;=6),"Sim","Não")</x:f>
        <x:v>Sim</x:v>
      </x:c>
      <x:c r="E10" s="82" t="n">
        <x:v>34</x:v>
      </x:c>
      <x:c r="F10" s="80" t="str">
        <x:v>Nidoking</x:v>
      </x:c>
      <x:c r="G10" s="82" t="str">
        <x:v>Veneno / Terra</x:v>
      </x:c>
      <x:c r="H10" s="82" t="str">
        <x:v>Físico</x:v>
      </x:c>
      <x:c r="I10" s="142" t="n">
        <x:f>ROUND(100*(Metodologia!$B$17*(Q10/Metodologia!$B$22)+Metodologia!$B$18*(R10/Metodologia!$B$23)+Metodologia!$B$19*(S10/Metodologia!$B$24)+Metodologia!$B$20*(P10/Metodologia!$B$25)+Metodologia!$B$21*(J10/Metodologia!$B$26)),2)</x:f>
        <x:v>65.5</x:v>
      </x:c>
      <x:c r="J10" s="82" t="n">
        <x:f>SUM(K10:P10)</x:f>
        <x:v>505</x:v>
      </x:c>
      <x:c r="K10" s="82" t="n">
        <x:v>81</x:v>
      </x:c>
      <x:c r="L10" s="82" t="n">
        <x:v>102</x:v>
      </x:c>
      <x:c r="M10" s="82" t="n">
        <x:v>77</x:v>
      </x:c>
      <x:c r="N10" s="82" t="n">
        <x:v>85</x:v>
      </x:c>
      <x:c r="O10" s="82" t="n">
        <x:v>75</x:v>
      </x:c>
      <x:c r="P10" s="82" t="n">
        <x:v>85</x:v>
      </x:c>
      <x:c r="Q10" s="143" t="n">
        <x:f>MAX(L10,N10)*Metodologia!$B$16</x:f>
        <x:v>132.6</x:v>
      </x:c>
      <x:c r="R10" s="143" t="n">
        <x:f>MIN(L10,N10)*Metodologia!$B$16</x:f>
        <x:v>110.5</x:v>
      </x:c>
      <x:c r="S10" s="143" t="n">
        <x:f>SQRT(K10*AVERAGE(M10,O10)*Metodologia!$B$16)</x:f>
        <x:v>89.45837020648207</x:v>
      </x:c>
      <x:c r="T10" s="82" t="str">
        <x:v>Sim</x:v>
      </x:c>
      <x:c r="U10" s="82" t="str">
        <x:v>Rankeado</x:v>
      </x:c>
      <x:c r="V10" s="82" t="str">
        <x:v>Perfil físico; melhor atributo ofensivo 102, ofensiva secundária 85, robustez relativa 58% e Speed 85. O índice privilegia dano de hunt, sem ignorar sobrevivência.</x:v>
      </x:c>
      <x:c r="W10" s="82" t="str">
        <x:v>Fica atrás de Vileplume principalmente por teto ofensivo 7.3% menor e robustez sustentada 3.1% menor.</x:v>
      </x:c>
      <x:c r="X10" s="82" t="str">
        <x:v>Fica à frente de Venusaur porque possui teto ofensivo 2.0% maior e velocidade 6.2% maior.</x:v>
      </x:c>
      <x:c r="Y10" s="154" t="str">
        <x:v>https://poke.idleworld.online/pokepedia/pokemon/nidoking</x:v>
      </x:c>
    </x:row>
    <x:row r="11" ht="48" customHeight="1">
      <x:c r="A11" s="82" t="n">
        <x:f>IF(U11&lt;&gt;"Rankeado","",COUNTIFS($U$5:$U$48,"Rankeado",$I$5:$I$48,"&gt;"&amp;I11)+COUNTIFS($U$5:U11,"Rankeado",$I$5:I11,I11))</x:f>
        <x:v>7</x:v>
      </x:c>
      <x:c r="B11" s="82" t="n">
        <x:f>COUNTIF($I$5:$I$48,"&gt;"&amp;I11)+COUNTIF($I$5:I11,I11)</x:f>
        <x:v>7</x:v>
      </x:c>
      <x:c r="C11" s="82" t="str">
        <x:f>IF(I11&gt;=80,"S+",IF(I11&gt;=72,"S",IF(I11&gt;=65,"A",IF(I11&gt;=58,"B",IF(I11&gt;=50,"C",IF(I11&gt;=42,"D","E"))))))</x:f>
        <x:v>A</x:v>
      </x:c>
      <x:c r="D11" s="82" t="str">
        <x:f>IF(AND(U11="Rankeado",A11&lt;=6),"Sim","Não")</x:f>
        <x:v>Não</x:v>
      </x:c>
      <x:c r="E11" s="82" t="n">
        <x:v>3</x:v>
      </x:c>
      <x:c r="F11" s="80" t="str">
        <x:v>Venusaur</x:v>
      </x:c>
      <x:c r="G11" s="82" t="str">
        <x:v>Planta / Veneno</x:v>
      </x:c>
      <x:c r="H11" s="82" t="str">
        <x:v>Especial</x:v>
      </x:c>
      <x:c r="I11" s="142" t="n">
        <x:f>ROUND(100*(Metodologia!$B$17*(Q11/Metodologia!$B$22)+Metodologia!$B$18*(R11/Metodologia!$B$23)+Metodologia!$B$19*(S11/Metodologia!$B$24)+Metodologia!$B$20*(P11/Metodologia!$B$25)+Metodologia!$B$21*(J11/Metodologia!$B$26)),2)</x:f>
        <x:v>65.05</x:v>
      </x:c>
      <x:c r="J11" s="82" t="n">
        <x:f>SUM(K11:P11)</x:f>
        <x:v>525</x:v>
      </x:c>
      <x:c r="K11" s="82" t="n">
        <x:v>80</x:v>
      </x:c>
      <x:c r="L11" s="82" t="n">
        <x:v>82</x:v>
      </x:c>
      <x:c r="M11" s="82" t="n">
        <x:v>83</x:v>
      </x:c>
      <x:c r="N11" s="82" t="n">
        <x:v>100</x:v>
      </x:c>
      <x:c r="O11" s="82" t="n">
        <x:v>100</x:v>
      </x:c>
      <x:c r="P11" s="82" t="n">
        <x:v>80</x:v>
      </x:c>
      <x:c r="Q11" s="143" t="n">
        <x:f>MAX(L11,N11)*Metodologia!$B$16</x:f>
        <x:v>130</x:v>
      </x:c>
      <x:c r="R11" s="143" t="n">
        <x:f>MIN(L11,N11)*Metodologia!$B$16</x:f>
        <x:v>106.60000000000001</x:v>
      </x:c>
      <x:c r="S11" s="143" t="n">
        <x:f>SQRT(K11*AVERAGE(M11,O11)*Metodologia!$B$16)</x:f>
        <x:v>97.54998718605759</x:v>
      </x:c>
      <x:c r="T11" s="82" t="str">
        <x:v>Sim</x:v>
      </x:c>
      <x:c r="U11" s="82" t="str">
        <x:v>Rankeado</x:v>
      </x:c>
      <x:c r="V11" s="82" t="str">
        <x:v>Perfil especial; melhor atributo ofensivo 100, ofensiva secundária 82, robustez relativa 63% e Speed 80. O índice privilegia dano de hunt, sem ignorar sobrevivência.</x:v>
      </x:c>
      <x:c r="W11" s="82" t="str">
        <x:v>Fica atrás de Nidoking principalmente por teto ofensivo 2.0% menor e velocidade 5.9% menor.</x:v>
      </x:c>
      <x:c r="X11" s="82" t="str">
        <x:v>Fica à frente de Muk porque possui velocidade 60.0% maior e ofensiva secundária 26.2% maior.</x:v>
      </x:c>
      <x:c r="Y11" s="154" t="str">
        <x:v>https://poke.idleworld.online/pokepedia/pokemon/venusaur</x:v>
      </x:c>
    </x:row>
    <x:row r="12" ht="48" customHeight="1">
      <x:c r="A12" s="82" t="n">
        <x:f>IF(U12&lt;&gt;"Rankeado","",COUNTIFS($U$5:$U$48,"Rankeado",$I$5:$I$48,"&gt;"&amp;I12)+COUNTIFS($U$5:U12,"Rankeado",$I$5:I12,I12))</x:f>
        <x:v>8</x:v>
      </x:c>
      <x:c r="B12" s="82" t="n">
        <x:f>COUNTIF($I$5:$I$48,"&gt;"&amp;I12)+COUNTIF($I$5:I12,I12)</x:f>
        <x:v>8</x:v>
      </x:c>
      <x:c r="C12" s="82" t="str">
        <x:f>IF(I12&gt;=80,"S+",IF(I12&gt;=72,"S",IF(I12&gt;=65,"A",IF(I12&gt;=58,"B",IF(I12&gt;=50,"C",IF(I12&gt;=42,"D","E"))))))</x:f>
        <x:v>B</x:v>
      </x:c>
      <x:c r="D12" s="82" t="str">
        <x:f>IF(AND(U12="Rankeado",A12&lt;=6),"Sim","Não")</x:f>
        <x:v>Não</x:v>
      </x:c>
      <x:c r="E12" s="82" t="n">
        <x:v>89</x:v>
      </x:c>
      <x:c r="F12" s="80" t="str">
        <x:v>Muk</x:v>
      </x:c>
      <x:c r="G12" s="82" t="str">
        <x:v>Veneno</x:v>
      </x:c>
      <x:c r="H12" s="82" t="str">
        <x:v>Físico</x:v>
      </x:c>
      <x:c r="I12" s="142" t="n">
        <x:f>ROUND(100*(Metodologia!$B$17*(Q12/Metodologia!$B$22)+Metodologia!$B$18*(R12/Metodologia!$B$23)+Metodologia!$B$19*(S12/Metodologia!$B$24)+Metodologia!$B$20*(P12/Metodologia!$B$25)+Metodologia!$B$21*(J12/Metodologia!$B$26)),2)</x:f>
        <x:v>64.4</x:v>
      </x:c>
      <x:c r="J12" s="82" t="n">
        <x:f>SUM(K12:P12)</x:f>
        <x:v>500</x:v>
      </x:c>
      <x:c r="K12" s="82" t="n">
        <x:v>105</x:v>
      </x:c>
      <x:c r="L12" s="82" t="n">
        <x:v>105</x:v>
      </x:c>
      <x:c r="M12" s="82" t="n">
        <x:v>75</x:v>
      </x:c>
      <x:c r="N12" s="82" t="n">
        <x:v>65</x:v>
      </x:c>
      <x:c r="O12" s="82" t="n">
        <x:v>100</x:v>
      </x:c>
      <x:c r="P12" s="82" t="n">
        <x:v>50</x:v>
      </x:c>
      <x:c r="Q12" s="143" t="n">
        <x:f>MAX(L12,N12)*Metodologia!$B$16</x:f>
        <x:v>136.5</x:v>
      </x:c>
      <x:c r="R12" s="143" t="n">
        <x:f>MIN(L12,N12)*Metodologia!$B$16</x:f>
        <x:v>84.5</x:v>
      </x:c>
      <x:c r="S12" s="143" t="n">
        <x:f>SQRT(K12*AVERAGE(M12,O12)*Metodologia!$B$16)</x:f>
        <x:v>109.28746497197197</x:v>
      </x:c>
      <x:c r="T12" s="82" t="str">
        <x:v>Sim</x:v>
      </x:c>
      <x:c r="U12" s="82" t="str">
        <x:v>Rankeado</x:v>
      </x:c>
      <x:c r="V12" s="82" t="str">
        <x:v>Perfil físico; melhor atributo ofensivo 105, ofensiva secundária 65, robustez relativa 70% e Speed 50. O índice privilegia dano de hunt, sem ignorar sobrevivência.</x:v>
      </x:c>
      <x:c r="W12" s="82" t="str">
        <x:v>Fica atrás de Venusaur principalmente por velocidade 37.5% menor e ofensiva secundária 20.7% menor.</x:v>
      </x:c>
      <x:c r="X12" s="82" t="str">
        <x:v>Fica à frente de Haunter porque possui robustez sustentada 102.1% maior e ofensiva secundária 30.0% maior.</x:v>
      </x:c>
      <x:c r="Y12" s="154" t="str">
        <x:v>https://poke.idleworld.online/pokepedia/pokemon/muk</x:v>
      </x:c>
    </x:row>
    <x:row r="13" ht="48" customHeight="1">
      <x:c r="A13" s="82" t="n">
        <x:f>IF(U13&lt;&gt;"Rankeado","",COUNTIFS($U$5:$U$48,"Rankeado",$I$5:$I$48,"&gt;"&amp;I13)+COUNTIFS($U$5:U13,"Rankeado",$I$5:I13,I13))</x:f>
        <x:v>9</x:v>
      </x:c>
      <x:c r="B13" s="82" t="n">
        <x:f>COUNTIF($I$5:$I$48,"&gt;"&amp;I13)+COUNTIF($I$5:I13,I13)</x:f>
        <x:v>9</x:v>
      </x:c>
      <x:c r="C13" s="82" t="str">
        <x:f>IF(I13&gt;=80,"S+",IF(I13&gt;=72,"S",IF(I13&gt;=65,"A",IF(I13&gt;=58,"B",IF(I13&gt;=50,"C",IF(I13&gt;=42,"D","E"))))))</x:f>
        <x:v>B</x:v>
      </x:c>
      <x:c r="D13" s="82" t="str">
        <x:f>IF(AND(U13="Rankeado",A13&lt;=6),"Sim","Não")</x:f>
        <x:v>Não</x:v>
      </x:c>
      <x:c r="E13" s="82" t="n">
        <x:v>93</x:v>
      </x:c>
      <x:c r="F13" s="80" t="str">
        <x:v>Haunter</x:v>
      </x:c>
      <x:c r="G13" s="82" t="str">
        <x:v>Fantasma / Veneno</x:v>
      </x:c>
      <x:c r="H13" s="82" t="str">
        <x:v>Especial</x:v>
      </x:c>
      <x:c r="I13" s="142" t="n">
        <x:f>ROUND(100*(Metodologia!$B$17*(Q13/Metodologia!$B$22)+Metodologia!$B$18*(R13/Metodologia!$B$23)+Metodologia!$B$19*(S13/Metodologia!$B$24)+Metodologia!$B$20*(P13/Metodologia!$B$25)+Metodologia!$B$21*(J13/Metodologia!$B$26)),2)</x:f>
        <x:v>63.89</x:v>
      </x:c>
      <x:c r="J13" s="82" t="n">
        <x:f>SUM(K13:P13)</x:f>
        <x:v>405</x:v>
      </x:c>
      <x:c r="K13" s="82" t="n">
        <x:v>45</x:v>
      </x:c>
      <x:c r="L13" s="82" t="n">
        <x:v>50</x:v>
      </x:c>
      <x:c r="M13" s="82" t="n">
        <x:v>45</x:v>
      </x:c>
      <x:c r="N13" s="82" t="n">
        <x:v>115</x:v>
      </x:c>
      <x:c r="O13" s="82" t="n">
        <x:v>55</x:v>
      </x:c>
      <x:c r="P13" s="82" t="n">
        <x:v>95</x:v>
      </x:c>
      <x:c r="Q13" s="143" t="n">
        <x:f>MAX(L13,N13)*Metodologia!$B$16</x:f>
        <x:v>149.5</x:v>
      </x:c>
      <x:c r="R13" s="143" t="n">
        <x:f>MIN(L13,N13)*Metodologia!$B$16</x:f>
        <x:v>65</x:v>
      </x:c>
      <x:c r="S13" s="143" t="n">
        <x:f>SQRT(K13*AVERAGE(M13,O13)*Metodologia!$B$16)</x:f>
        <x:v>54.08326913195984</x:v>
      </x:c>
      <x:c r="T13" s="82" t="str">
        <x:v>Sim</x:v>
      </x:c>
      <x:c r="U13" s="82" t="str">
        <x:v>Rankeado</x:v>
      </x:c>
      <x:c r="V13" s="82" t="str">
        <x:v>Perfil especial; melhor atributo ofensivo 115, ofensiva secundária 50, robustez relativa 35% e Speed 95. O índice privilegia dano de hunt, sem ignorar sobrevivência.</x:v>
      </x:c>
      <x:c r="W13" s="82" t="str">
        <x:v>Fica atrás de Muk principalmente por robustez sustentada 50.5% menor e ofensiva secundária 23.1% menor.</x:v>
      </x:c>
      <x:c r="X13" s="82" t="str">
        <x:v>Fica à frente de Crobat porque possui teto ofensivo 27.8% maior.</x:v>
      </x:c>
      <x:c r="Y13" s="154" t="str">
        <x:v>https://poke.idleworld.online/pokepedia/pokemon/haunter</x:v>
      </x:c>
    </x:row>
    <x:row r="14" ht="48" customHeight="1">
      <x:c r="A14" s="82" t="n">
        <x:f>IF(U14&lt;&gt;"Rankeado","",COUNTIFS($U$5:$U$48,"Rankeado",$I$5:$I$48,"&gt;"&amp;I14)+COUNTIFS($U$5:U14,"Rankeado",$I$5:I14,I14))</x:f>
        <x:v>10</x:v>
      </x:c>
      <x:c r="B14" s="82" t="n">
        <x:f>COUNTIF($I$5:$I$48,"&gt;"&amp;I14)+COUNTIF($I$5:I14,I14)</x:f>
        <x:v>10</x:v>
      </x:c>
      <x:c r="C14" s="82" t="str">
        <x:f>IF(I14&gt;=80,"S+",IF(I14&gt;=72,"S",IF(I14&gt;=65,"A",IF(I14&gt;=58,"B",IF(I14&gt;=50,"C",IF(I14&gt;=42,"D","E"))))))</x:f>
        <x:v>B</x:v>
      </x:c>
      <x:c r="D14" s="82" t="str">
        <x:f>IF(AND(U14="Rankeado",A14&lt;=6),"Sim","Não")</x:f>
        <x:v>Não</x:v>
      </x:c>
      <x:c r="E14" s="82" t="n">
        <x:v>169</x:v>
      </x:c>
      <x:c r="F14" s="80" t="str">
        <x:v>Crobat</x:v>
      </x:c>
      <x:c r="G14" s="82" t="str">
        <x:v>Veneno / Voador</x:v>
      </x:c>
      <x:c r="H14" s="82" t="str">
        <x:v>Físico</x:v>
      </x:c>
      <x:c r="I14" s="142" t="n">
        <x:f>ROUND(100*(Metodologia!$B$17*(Q14/Metodologia!$B$22)+Metodologia!$B$18*(R14/Metodologia!$B$23)+Metodologia!$B$19*(S14/Metodologia!$B$24)+Metodologia!$B$20*(P14/Metodologia!$B$25)+Metodologia!$B$21*(J14/Metodologia!$B$26)),2)</x:f>
        <x:v>63.13</x:v>
      </x:c>
      <x:c r="J14" s="82" t="n">
        <x:f>SUM(K14:P14)</x:f>
        <x:v>535</x:v>
      </x:c>
      <x:c r="K14" s="82" t="n">
        <x:v>85</x:v>
      </x:c>
      <x:c r="L14" s="82" t="n">
        <x:v>90</x:v>
      </x:c>
      <x:c r="M14" s="82" t="n">
        <x:v>80</x:v>
      </x:c>
      <x:c r="N14" s="82" t="n">
        <x:v>70</x:v>
      </x:c>
      <x:c r="O14" s="82" t="n">
        <x:v>80</x:v>
      </x:c>
      <x:c r="P14" s="82" t="n">
        <x:v>130</x:v>
      </x:c>
      <x:c r="Q14" s="143" t="n">
        <x:f>MAX(L14,N14)*Metodologia!$B$16</x:f>
        <x:v>117</x:v>
      </x:c>
      <x:c r="R14" s="143" t="n">
        <x:f>MIN(L14,N14)*Metodologia!$B$16</x:f>
        <x:v>91</x:v>
      </x:c>
      <x:c r="S14" s="143" t="n">
        <x:f>SQRT(K14*AVERAGE(M14,O14)*Metodologia!$B$16)</x:f>
        <x:v>94.02127418834527</x:v>
      </x:c>
      <x:c r="T14" s="82" t="str">
        <x:v>Sim</x:v>
      </x:c>
      <x:c r="U14" s="82" t="str">
        <x:v>Rankeado</x:v>
      </x:c>
      <x:c r="V14" s="82" t="str">
        <x:v>Perfil físico; melhor atributo ofensivo 90, ofensiva secundária 70, robustez relativa 61% e Speed 130. O índice privilegia dano de hunt, sem ignorar sobrevivência.</x:v>
      </x:c>
      <x:c r="W14" s="82" t="str">
        <x:v>Fica atrás de Haunter principalmente por teto ofensivo 21.7% menor.</x:v>
      </x:c>
      <x:c r="X14" s="82" t="str">
        <x:v>Fica à frente de Nidoqueen porque possui velocidade 71.1% maior e total de stats 5.9% maior.</x:v>
      </x:c>
      <x:c r="Y14" s="154" t="str">
        <x:v>https://poke.idleworld.online/pokepedia/pokemon/crobat</x:v>
      </x:c>
    </x:row>
    <x:row r="15" ht="48" customHeight="1">
      <x:c r="A15" s="82" t="n">
        <x:f>IF(U15&lt;&gt;"Rankeado","",COUNTIFS($U$5:$U$48,"Rankeado",$I$5:$I$48,"&gt;"&amp;I15)+COUNTIFS($U$5:U15,"Rankeado",$I$5:I15,I15))</x:f>
        <x:v>11</x:v>
      </x:c>
      <x:c r="B15" s="82" t="n">
        <x:f>COUNTIF($I$5:$I$48,"&gt;"&amp;I15)+COUNTIF($I$5:I15,I15)</x:f>
        <x:v>11</x:v>
      </x:c>
      <x:c r="C15" s="82" t="str">
        <x:f>IF(I15&gt;=80,"S+",IF(I15&gt;=72,"S",IF(I15&gt;=65,"A",IF(I15&gt;=58,"B",IF(I15&gt;=50,"C",IF(I15&gt;=42,"D","E"))))))</x:f>
        <x:v>B</x:v>
      </x:c>
      <x:c r="D15" s="82" t="str">
        <x:f>IF(AND(U15="Rankeado",A15&lt;=6),"Sim","Não")</x:f>
        <x:v>Não</x:v>
      </x:c>
      <x:c r="E15" s="82" t="n">
        <x:v>31</x:v>
      </x:c>
      <x:c r="F15" s="80" t="str">
        <x:v>Nidoqueen</x:v>
      </x:c>
      <x:c r="G15" s="82" t="str">
        <x:v>Veneno / Terra</x:v>
      </x:c>
      <x:c r="H15" s="82" t="str">
        <x:v>Físico</x:v>
      </x:c>
      <x:c r="I15" s="142" t="n">
        <x:f>ROUND(100*(Metodologia!$B$17*(Q15/Metodologia!$B$22)+Metodologia!$B$18*(R15/Metodologia!$B$23)+Metodologia!$B$19*(S15/Metodologia!$B$24)+Metodologia!$B$20*(P15/Metodologia!$B$25)+Metodologia!$B$21*(J15/Metodologia!$B$26)),2)</x:f>
        <x:v>61.15</x:v>
      </x:c>
      <x:c r="J15" s="82" t="n">
        <x:f>SUM(K15:P15)</x:f>
        <x:v>505</x:v>
      </x:c>
      <x:c r="K15" s="82" t="n">
        <x:v>90</x:v>
      </x:c>
      <x:c r="L15" s="82" t="n">
        <x:v>92</x:v>
      </x:c>
      <x:c r="M15" s="82" t="n">
        <x:v>87</x:v>
      </x:c>
      <x:c r="N15" s="82" t="n">
        <x:v>75</x:v>
      </x:c>
      <x:c r="O15" s="82" t="n">
        <x:v>85</x:v>
      </x:c>
      <x:c r="P15" s="82" t="n">
        <x:v>76</x:v>
      </x:c>
      <x:c r="Q15" s="143" t="n">
        <x:f>MAX(L15,N15)*Metodologia!$B$16</x:f>
        <x:v>119.60000000000001</x:v>
      </x:c>
      <x:c r="R15" s="143" t="n">
        <x:f>MIN(L15,N15)*Metodologia!$B$16</x:f>
        <x:v>97.5</x:v>
      </x:c>
      <x:c r="S15" s="143" t="n">
        <x:f>SQRT(K15*AVERAGE(M15,O15)*Metodologia!$B$16)</x:f>
        <x:v>100.30952098380293</x:v>
      </x:c>
      <x:c r="T15" s="82" t="str">
        <x:v>Sim</x:v>
      </x:c>
      <x:c r="U15" s="82" t="str">
        <x:v>Rankeado</x:v>
      </x:c>
      <x:c r="V15" s="82" t="str">
        <x:v>Perfil físico; melhor atributo ofensivo 92, ofensiva secundária 75, robustez relativa 65% e Speed 76. O índice privilegia dano de hunt, sem ignorar sobrevivência.</x:v>
      </x:c>
      <x:c r="W15" s="82" t="str">
        <x:v>Fica atrás de Crobat principalmente por velocidade 41.5% menor e total de stats 5.6% menor.</x:v>
      </x:c>
      <x:c r="X15" s="82" t="str">
        <x:v>Fica à frente de Weezing porque possui velocidade 26.7% maior e robustez sustentada 12.0% maior.</x:v>
      </x:c>
      <x:c r="Y15" s="154" t="str">
        <x:v>https://poke.idleworld.online/pokepedia/pokemon/nidoqueen</x:v>
      </x:c>
    </x:row>
    <x:row r="16" ht="48" customHeight="1">
      <x:c r="A16" s="82" t="n">
        <x:f>IF(U16&lt;&gt;"Rankeado","",COUNTIFS($U$5:$U$48,"Rankeado",$I$5:$I$48,"&gt;"&amp;I16)+COUNTIFS($U$5:U16,"Rankeado",$I$5:I16,I16))</x:f>
        <x:v>12</x:v>
      </x:c>
      <x:c r="B16" s="82" t="n">
        <x:f>COUNTIF($I$5:$I$48,"&gt;"&amp;I16)+COUNTIF($I$5:I16,I16)</x:f>
        <x:v>12</x:v>
      </x:c>
      <x:c r="C16" s="82" t="str">
        <x:f>IF(I16&gt;=80,"S+",IF(I16&gt;=72,"S",IF(I16&gt;=65,"A",IF(I16&gt;=58,"B",IF(I16&gt;=50,"C",IF(I16&gt;=42,"D","E"))))))</x:f>
        <x:v>B</x:v>
      </x:c>
      <x:c r="D16" s="82" t="str">
        <x:f>IF(AND(U16="Rankeado",A16&lt;=6),"Sim","Não")</x:f>
        <x:v>Não</x:v>
      </x:c>
      <x:c r="E16" s="82" t="n">
        <x:v>110</x:v>
      </x:c>
      <x:c r="F16" s="80" t="str">
        <x:v>Weezing</x:v>
      </x:c>
      <x:c r="G16" s="82" t="str">
        <x:v>Veneno</x:v>
      </x:c>
      <x:c r="H16" s="82" t="str">
        <x:v>Misto</x:v>
      </x:c>
      <x:c r="I16" s="142" t="n">
        <x:f>ROUND(100*(Metodologia!$B$17*(Q16/Metodologia!$B$22)+Metodologia!$B$18*(R16/Metodologia!$B$23)+Metodologia!$B$19*(S16/Metodologia!$B$24)+Metodologia!$B$20*(P16/Metodologia!$B$25)+Metodologia!$B$21*(J16/Metodologia!$B$26)),2)</x:f>
        <x:v>59.06</x:v>
      </x:c>
      <x:c r="J16" s="82" t="n">
        <x:f>SUM(K16:P16)</x:f>
        <x:v>490</x:v>
      </x:c>
      <x:c r="K16" s="82" t="n">
        <x:v>65</x:v>
      </x:c>
      <x:c r="L16" s="82" t="n">
        <x:v>90</x:v>
      </x:c>
      <x:c r="M16" s="82" t="n">
        <x:v>120</x:v>
      </x:c>
      <x:c r="N16" s="82" t="n">
        <x:v>85</x:v>
      </x:c>
      <x:c r="O16" s="82" t="n">
        <x:v>70</x:v>
      </x:c>
      <x:c r="P16" s="82" t="n">
        <x:v>60</x:v>
      </x:c>
      <x:c r="Q16" s="143" t="n">
        <x:f>MAX(L16,N16)*Metodologia!$B$16</x:f>
        <x:v>117</x:v>
      </x:c>
      <x:c r="R16" s="143" t="n">
        <x:f>MIN(L16,N16)*Metodologia!$B$16</x:f>
        <x:v>110.5</x:v>
      </x:c>
      <x:c r="S16" s="143" t="n">
        <x:f>SQRT(K16*AVERAGE(M16,O16)*Metodologia!$B$16)</x:f>
        <x:v>89.59631688858644</x:v>
      </x:c>
      <x:c r="T16" s="82" t="str">
        <x:v>Sim</x:v>
      </x:c>
      <x:c r="U16" s="82" t="str">
        <x:v>Rankeado</x:v>
      </x:c>
      <x:c r="V16" s="82" t="str">
        <x:v>Perfil misto; melhor atributo ofensivo 90, ofensiva secundária 85, robustez relativa 58% e Speed 60. O índice privilegia dano de hunt, sem ignorar sobrevivência.</x:v>
      </x:c>
      <x:c r="W16" s="82" t="str">
        <x:v>Fica atrás de Nidoqueen principalmente por velocidade 21.1% menor e robustez sustentada 10.7% menor.</x:v>
      </x:c>
      <x:c r="X16" s="82" t="str">
        <x:v>Fica à frente de Arbok porque possui ofensiva secundária 30.8% maior e robustez sustentada 17.9% maior.</x:v>
      </x:c>
      <x:c r="Y16" s="154" t="str">
        <x:v>https://poke.idleworld.online/pokepedia/pokemon/weezing</x:v>
      </x:c>
    </x:row>
    <x:row r="17" ht="48" customHeight="1">
      <x:c r="A17" s="82" t="n">
        <x:f>IF(U17&lt;&gt;"Rankeado","",COUNTIFS($U$5:$U$48,"Rankeado",$I$5:$I$48,"&gt;"&amp;I17)+COUNTIFS($U$5:U17,"Rankeado",$I$5:I17,I17))</x:f>
        <x:v>13</x:v>
      </x:c>
      <x:c r="B17" s="82" t="n">
        <x:f>COUNTIF($I$5:$I$48,"&gt;"&amp;I17)+COUNTIF($I$5:I17,I17)</x:f>
        <x:v>13</x:v>
      </x:c>
      <x:c r="C17" s="82" t="str">
        <x:f>IF(I17&gt;=80,"S+",IF(I17&gt;=72,"S",IF(I17&gt;=65,"A",IF(I17&gt;=58,"B",IF(I17&gt;=50,"C",IF(I17&gt;=42,"D","E"))))))</x:f>
        <x:v>B</x:v>
      </x:c>
      <x:c r="D17" s="82" t="str">
        <x:f>IF(AND(U17="Rankeado",A17&lt;=6),"Sim","Não")</x:f>
        <x:v>Não</x:v>
      </x:c>
      <x:c r="E17" s="82" t="n">
        <x:v>24</x:v>
      </x:c>
      <x:c r="F17" s="80" t="str">
        <x:v>Arbok</x:v>
      </x:c>
      <x:c r="G17" s="82" t="str">
        <x:v>Veneno</x:v>
      </x:c>
      <x:c r="H17" s="82" t="str">
        <x:v>Físico</x:v>
      </x:c>
      <x:c r="I17" s="142" t="n">
        <x:f>ROUND(100*(Metodologia!$B$17*(Q17/Metodologia!$B$22)+Metodologia!$B$18*(R17/Metodologia!$B$23)+Metodologia!$B$19*(S17/Metodologia!$B$24)+Metodologia!$B$20*(P17/Metodologia!$B$25)+Metodologia!$B$21*(J17/Metodologia!$B$26)),2)</x:f>
        <x:v>58.9</x:v>
      </x:c>
      <x:c r="J17" s="82" t="n">
        <x:f>SUM(K17:P17)</x:f>
        <x:v>448</x:v>
      </x:c>
      <x:c r="K17" s="82" t="n">
        <x:v>60</x:v>
      </x:c>
      <x:c r="L17" s="82" t="n">
        <x:v>95</x:v>
      </x:c>
      <x:c r="M17" s="82" t="n">
        <x:v>69</x:v>
      </x:c>
      <x:c r="N17" s="82" t="n">
        <x:v>65</x:v>
      </x:c>
      <x:c r="O17" s="82" t="n">
        <x:v>79</x:v>
      </x:c>
      <x:c r="P17" s="82" t="n">
        <x:v>80</x:v>
      </x:c>
      <x:c r="Q17" s="143" t="n">
        <x:f>MAX(L17,N17)*Metodologia!$B$16</x:f>
        <x:v>123.5</x:v>
      </x:c>
      <x:c r="R17" s="143" t="n">
        <x:f>MIN(L17,N17)*Metodologia!$B$16</x:f>
        <x:v>84.5</x:v>
      </x:c>
      <x:c r="S17" s="143" t="n">
        <x:f>SQRT(K17*AVERAGE(M17,O17)*Metodologia!$B$16)</x:f>
        <x:v>75.97367965289031</x:v>
      </x:c>
      <x:c r="T17" s="82" t="str">
        <x:v>Sim</x:v>
      </x:c>
      <x:c r="U17" s="82" t="str">
        <x:v>Rankeado</x:v>
      </x:c>
      <x:c r="V17" s="82" t="str">
        <x:v>Perfil físico; melhor atributo ofensivo 95, ofensiva secundária 65, robustez relativa 49% e Speed 80. O índice privilegia dano de hunt, sem ignorar sobrevivência.</x:v>
      </x:c>
      <x:c r="W17" s="82" t="str">
        <x:v>Fica atrás de Weezing principalmente por ofensiva secundária 23.5% menor e robustez sustentada 15.2% menor.</x:v>
      </x:c>
      <x:c r="X17" s="82" t="str">
        <x:v>Fica à frente de Qwilfish porque possui ofensiva secundária 18.2% maior e total de stats 1.8% maior.</x:v>
      </x:c>
      <x:c r="Y17" s="154" t="str">
        <x:v>https://poke.idleworld.online/pokepedia/pokemon/arbok</x:v>
      </x:c>
    </x:row>
    <x:row r="18" ht="48" customHeight="1">
      <x:c r="A18" s="82" t="n">
        <x:f>IF(U18&lt;&gt;"Rankeado","",COUNTIFS($U$5:$U$48,"Rankeado",$I$5:$I$48,"&gt;"&amp;I18)+COUNTIFS($U$5:U18,"Rankeado",$I$5:I18,I18))</x:f>
        <x:v>14</x:v>
      </x:c>
      <x:c r="B18" s="82" t="n">
        <x:f>COUNTIF($I$5:$I$48,"&gt;"&amp;I18)+COUNTIF($I$5:I18,I18)</x:f>
        <x:v>14</x:v>
      </x:c>
      <x:c r="C18" s="82" t="str">
        <x:f>IF(I18&gt;=80,"S+",IF(I18&gt;=72,"S",IF(I18&gt;=65,"A",IF(I18&gt;=58,"B",IF(I18&gt;=50,"C",IF(I18&gt;=42,"D","E"))))))</x:f>
        <x:v>B</x:v>
      </x:c>
      <x:c r="D18" s="82" t="str">
        <x:f>IF(AND(U18="Rankeado",A18&lt;=6),"Sim","Não")</x:f>
        <x:v>Não</x:v>
      </x:c>
      <x:c r="E18" s="82" t="n">
        <x:v>211</x:v>
      </x:c>
      <x:c r="F18" s="80" t="str">
        <x:v>Qwilfish</x:v>
      </x:c>
      <x:c r="G18" s="82" t="str">
        <x:v>Água / Veneno</x:v>
      </x:c>
      <x:c r="H18" s="82" t="str">
        <x:v>Físico</x:v>
      </x:c>
      <x:c r="I18" s="142" t="n">
        <x:f>ROUND(100*(Metodologia!$B$17*(Q18/Metodologia!$B$22)+Metodologia!$B$18*(R18/Metodologia!$B$23)+Metodologia!$B$19*(S18/Metodologia!$B$24)+Metodologia!$B$20*(P18/Metodologia!$B$25)+Metodologia!$B$21*(J18/Metodologia!$B$26)),2)</x:f>
        <x:v>58.36</x:v>
      </x:c>
      <x:c r="J18" s="82" t="n">
        <x:f>SUM(K18:P18)</x:f>
        <x:v>440</x:v>
      </x:c>
      <x:c r="K18" s="82" t="n">
        <x:v>65</x:v>
      </x:c>
      <x:c r="L18" s="82" t="n">
        <x:v>95</x:v>
      </x:c>
      <x:c r="M18" s="82" t="n">
        <x:v>85</x:v>
      </x:c>
      <x:c r="N18" s="82" t="n">
        <x:v>55</x:v>
      </x:c>
      <x:c r="O18" s="82" t="n">
        <x:v>55</x:v>
      </x:c>
      <x:c r="P18" s="82" t="n">
        <x:v>85</x:v>
      </x:c>
      <x:c r="Q18" s="143" t="n">
        <x:f>MAX(L18,N18)*Metodologia!$B$16</x:f>
        <x:v>123.5</x:v>
      </x:c>
      <x:c r="R18" s="143" t="n">
        <x:f>MIN(L18,N18)*Metodologia!$B$16</x:f>
        <x:v>71.5</x:v>
      </x:c>
      <x:c r="S18" s="143" t="n">
        <x:f>SQRT(K18*AVERAGE(M18,O18)*Metodologia!$B$16)</x:f>
        <x:v>76.909037180295</x:v>
      </x:c>
      <x:c r="T18" s="82" t="str">
        <x:v>Não</x:v>
      </x:c>
      <x:c r="U18" s="82" t="str">
        <x:v>Rankeado</x:v>
      </x:c>
      <x:c r="V18" s="82" t="str">
        <x:v>Perfil físico; melhor atributo ofensivo 95, ofensiva secundária 55, robustez relativa 50% e Speed 85. O índice privilegia dano de hunt, sem ignorar sobrevivência.</x:v>
      </x:c>
      <x:c r="W18" s="82" t="str">
        <x:v>Fica atrás de Arbok principalmente por ofensiva secundária 15.4% menor e total de stats 1.8% menor.</x:v>
      </x:c>
      <x:c r="X18" s="82" t="str">
        <x:v>Fica à frente de Venomoth porque possui teto ofensivo 5.6% maior.</x:v>
      </x:c>
      <x:c r="Y18" s="154" t="str">
        <x:v>https://poke.idleworld.online/pokepedia/pokemon/qwilfish</x:v>
      </x:c>
    </x:row>
    <x:row r="19" ht="48" customHeight="1">
      <x:c r="A19" s="82" t="n">
        <x:f>IF(U19&lt;&gt;"Rankeado","",COUNTIFS($U$5:$U$48,"Rankeado",$I$5:$I$48,"&gt;"&amp;I19)+COUNTIFS($U$5:U19,"Rankeado",$I$5:I19,I19))</x:f>
        <x:v>15</x:v>
      </x:c>
      <x:c r="B19" s="82" t="n">
        <x:f>COUNTIF($I$5:$I$48,"&gt;"&amp;I19)+COUNTIF($I$5:I19,I19)</x:f>
        <x:v>15</x:v>
      </x:c>
      <x:c r="C19" s="82" t="str">
        <x:f>IF(I19&gt;=80,"S+",IF(I19&gt;=72,"S",IF(I19&gt;=65,"A",IF(I19&gt;=58,"B",IF(I19&gt;=50,"C",IF(I19&gt;=42,"D","E"))))))</x:f>
        <x:v>C</x:v>
      </x:c>
      <x:c r="D19" s="82" t="str">
        <x:f>IF(AND(U19="Rankeado",A19&lt;=6),"Sim","Não")</x:f>
        <x:v>Não</x:v>
      </x:c>
      <x:c r="E19" s="82" t="n">
        <x:v>49</x:v>
      </x:c>
      <x:c r="F19" s="80" t="str">
        <x:v>Venomoth</x:v>
      </x:c>
      <x:c r="G19" s="82" t="str">
        <x:v>Inseto / Veneno</x:v>
      </x:c>
      <x:c r="H19" s="82" t="str">
        <x:v>Especial</x:v>
      </x:c>
      <x:c r="I19" s="142" t="n">
        <x:f>ROUND(100*(Metodologia!$B$17*(Q19/Metodologia!$B$22)+Metodologia!$B$18*(R19/Metodologia!$B$23)+Metodologia!$B$19*(S19/Metodologia!$B$24)+Metodologia!$B$20*(P19/Metodologia!$B$25)+Metodologia!$B$21*(J19/Metodologia!$B$26)),2)</x:f>
        <x:v>57.87</x:v>
      </x:c>
      <x:c r="J19" s="82" t="n">
        <x:f>SUM(K19:P19)</x:f>
        <x:v>450</x:v>
      </x:c>
      <x:c r="K19" s="82" t="n">
        <x:v>70</x:v>
      </x:c>
      <x:c r="L19" s="82" t="n">
        <x:v>65</x:v>
      </x:c>
      <x:c r="M19" s="82" t="n">
        <x:v>60</x:v>
      </x:c>
      <x:c r="N19" s="82" t="n">
        <x:v>90</x:v>
      </x:c>
      <x:c r="O19" s="82" t="n">
        <x:v>75</x:v>
      </x:c>
      <x:c r="P19" s="82" t="n">
        <x:v>90</x:v>
      </x:c>
      <x:c r="Q19" s="143" t="n">
        <x:f>MAX(L19,N19)*Metodologia!$B$16</x:f>
        <x:v>117</x:v>
      </x:c>
      <x:c r="R19" s="143" t="n">
        <x:f>MIN(L19,N19)*Metodologia!$B$16</x:f>
        <x:v>84.5</x:v>
      </x:c>
      <x:c r="S19" s="143" t="n">
        <x:f>SQRT(K19*AVERAGE(M19,O19)*Metodologia!$B$16)</x:f>
        <x:v>78.3741028656788</x:v>
      </x:c>
      <x:c r="T19" s="82" t="str">
        <x:v>Sim</x:v>
      </x:c>
      <x:c r="U19" s="82" t="str">
        <x:v>Rankeado</x:v>
      </x:c>
      <x:c r="V19" s="82" t="str">
        <x:v>Perfil especial; melhor atributo ofensivo 90, ofensiva secundária 65, robustez relativa 51% e Speed 90. O índice privilegia dano de hunt, sem ignorar sobrevivência.</x:v>
      </x:c>
      <x:c r="W19" s="82" t="str">
        <x:v>Fica atrás de Qwilfish principalmente por teto ofensivo 5.3% menor.</x:v>
      </x:c>
      <x:c r="X19" s="82" t="str">
        <x:v>Fica à frente de Sneasel porque possui ofensiva secundária 85.7% maior e robustez sustentada 15.0% maior.</x:v>
      </x:c>
      <x:c r="Y19" s="154" t="str">
        <x:v>https://poke.idleworld.online/pokepedia/pokemon/venomoth</x:v>
      </x:c>
    </x:row>
    <x:row r="20" ht="48" customHeight="1">
      <x:c r="A20" s="82" t="n">
        <x:f>IF(U20&lt;&gt;"Rankeado","",COUNTIFS($U$5:$U$48,"Rankeado",$I$5:$I$48,"&gt;"&amp;I20)+COUNTIFS($U$5:U20,"Rankeado",$I$5:I20,I20))</x:f>
        <x:v>16</x:v>
      </x:c>
      <x:c r="B20" s="82" t="n">
        <x:f>COUNTIF($I$5:$I$48,"&gt;"&amp;I20)+COUNTIF($I$5:I20,I20)</x:f>
        <x:v>16</x:v>
      </x:c>
      <x:c r="C20" s="82" t="str">
        <x:f>IF(I20&gt;=80,"S+",IF(I20&gt;=72,"S",IF(I20&gt;=65,"A",IF(I20&gt;=58,"B",IF(I20&gt;=50,"C",IF(I20&gt;=42,"D","E"))))))</x:f>
        <x:v>C</x:v>
      </x:c>
      <x:c r="D20" s="82" t="str">
        <x:f>IF(AND(U20="Rankeado",A20&lt;=6),"Sim","Não")</x:f>
        <x:v>Não</x:v>
      </x:c>
      <x:c r="E20" s="82" t="n">
        <x:v>215</x:v>
      </x:c>
      <x:c r="F20" s="80" t="str">
        <x:v>Sneasel</x:v>
      </x:c>
      <x:c r="G20" s="82" t="str">
        <x:v>Sombrio / Gelo</x:v>
      </x:c>
      <x:c r="H20" s="82" t="str">
        <x:v>Físico</x:v>
      </x:c>
      <x:c r="I20" s="142" t="n">
        <x:f>ROUND(100*(Metodologia!$B$17*(Q20/Metodologia!$B$22)+Metodologia!$B$18*(R20/Metodologia!$B$23)+Metodologia!$B$19*(S20/Metodologia!$B$24)+Metodologia!$B$20*(P20/Metodologia!$B$25)+Metodologia!$B$21*(J20/Metodologia!$B$26)),2)</x:f>
        <x:v>57.62</x:v>
      </x:c>
      <x:c r="J20" s="82" t="n">
        <x:f>SUM(K20:P20)</x:f>
        <x:v>430</x:v>
      </x:c>
      <x:c r="K20" s="82" t="n">
        <x:v>55</x:v>
      </x:c>
      <x:c r="L20" s="82" t="n">
        <x:v>95</x:v>
      </x:c>
      <x:c r="M20" s="82" t="n">
        <x:v>55</x:v>
      </x:c>
      <x:c r="N20" s="82" t="n">
        <x:v>35</x:v>
      </x:c>
      <x:c r="O20" s="82" t="n">
        <x:v>75</x:v>
      </x:c>
      <x:c r="P20" s="82" t="n">
        <x:v>115</x:v>
      </x:c>
      <x:c r="Q20" s="143" t="n">
        <x:f>MAX(L20,N20)*Metodologia!$B$16</x:f>
        <x:v>123.5</x:v>
      </x:c>
      <x:c r="R20" s="143" t="n">
        <x:f>MIN(L20,N20)*Metodologia!$B$16</x:f>
        <x:v>45.5</x:v>
      </x:c>
      <x:c r="S20" s="143" t="n">
        <x:f>SQRT(K20*AVERAGE(M20,O20)*Metodologia!$B$16)</x:f>
        <x:v>68.17257513105984</x:v>
      </x:c>
      <x:c r="T20" s="82" t="str">
        <x:v>Não</x:v>
      </x:c>
      <x:c r="U20" s="82" t="str">
        <x:v>Rankeado</x:v>
      </x:c>
      <x:c r="V20" s="82" t="str">
        <x:v>Perfil físico; melhor atributo ofensivo 95, ofensiva secundária 35, robustez relativa 44% e Speed 115. O índice privilegia dano de hunt, sem ignorar sobrevivência.</x:v>
      </x:c>
      <x:c r="W20" s="82" t="str">
        <x:v>Fica atrás de Venomoth principalmente por ofensiva secundária 46.2% menor e robustez sustentada 13.0% menor.</x:v>
      </x:c>
      <x:c r="X20" s="82" t="str">
        <x:v>Fica à frente de Tentacruel porque possui teto ofensivo 18.8% maior e velocidade 15.0% maior.</x:v>
      </x:c>
      <x:c r="Y20" s="154" t="str">
        <x:v>https://poke.idleworld.online/pokepedia/pokemon/sneasel</x:v>
      </x:c>
    </x:row>
    <x:row r="21" ht="48" customHeight="1">
      <x:c r="A21" s="82" t="n">
        <x:f>IF(U21&lt;&gt;"Rankeado","",COUNTIFS($U$5:$U$48,"Rankeado",$I$5:$I$48,"&gt;"&amp;I21)+COUNTIFS($U$5:U21,"Rankeado",$I$5:I21,I21))</x:f>
        <x:v>17</x:v>
      </x:c>
      <x:c r="B21" s="82" t="n">
        <x:f>COUNTIF($I$5:$I$48,"&gt;"&amp;I21)+COUNTIF($I$5:I21,I21)</x:f>
        <x:v>17</x:v>
      </x:c>
      <x:c r="C21" s="82" t="str">
        <x:f>IF(I21&gt;=80,"S+",IF(I21&gt;=72,"S",IF(I21&gt;=65,"A",IF(I21&gt;=58,"B",IF(I21&gt;=50,"C",IF(I21&gt;=42,"D","E"))))))</x:f>
        <x:v>C</x:v>
      </x:c>
      <x:c r="D21" s="82" t="str">
        <x:f>IF(AND(U21="Rankeado",A21&lt;=6),"Sim","Não")</x:f>
        <x:v>Não</x:v>
      </x:c>
      <x:c r="E21" s="82" t="n">
        <x:v>73</x:v>
      </x:c>
      <x:c r="F21" s="80" t="str">
        <x:v>Tentacruel</x:v>
      </x:c>
      <x:c r="G21" s="82" t="str">
        <x:v>Água / Veneno</x:v>
      </x:c>
      <x:c r="H21" s="82" t="str">
        <x:v>Misto</x:v>
      </x:c>
      <x:c r="I21" s="142" t="n">
        <x:f>ROUND(100*(Metodologia!$B$17*(Q21/Metodologia!$B$22)+Metodologia!$B$18*(R21/Metodologia!$B$23)+Metodologia!$B$19*(S21/Metodologia!$B$24)+Metodologia!$B$20*(P21/Metodologia!$B$25)+Metodologia!$B$21*(J21/Metodologia!$B$26)),2)</x:f>
        <x:v>57.48</x:v>
      </x:c>
      <x:c r="J21" s="82" t="n">
        <x:f>SUM(K21:P21)</x:f>
        <x:v>515</x:v>
      </x:c>
      <x:c r="K21" s="82" t="n">
        <x:v>80</x:v>
      </x:c>
      <x:c r="L21" s="82" t="n">
        <x:v>70</x:v>
      </x:c>
      <x:c r="M21" s="82" t="n">
        <x:v>65</x:v>
      </x:c>
      <x:c r="N21" s="82" t="n">
        <x:v>80</x:v>
      </x:c>
      <x:c r="O21" s="82" t="n">
        <x:v>120</x:v>
      </x:c>
      <x:c r="P21" s="82" t="n">
        <x:v>100</x:v>
      </x:c>
      <x:c r="Q21" s="143" t="n">
        <x:f>MAX(L21,N21)*Metodologia!$B$16</x:f>
        <x:v>104</x:v>
      </x:c>
      <x:c r="R21" s="143" t="n">
        <x:f>MIN(L21,N21)*Metodologia!$B$16</x:f>
        <x:v>91</x:v>
      </x:c>
      <x:c r="S21" s="143" t="n">
        <x:f>SQRT(K21*AVERAGE(M21,O21)*Metodologia!$B$16)</x:f>
        <x:v>98.08159868191383</x:v>
      </x:c>
      <x:c r="T21" s="82" t="str">
        <x:v>Sim</x:v>
      </x:c>
      <x:c r="U21" s="82" t="str">
        <x:v>Rankeado</x:v>
      </x:c>
      <x:c r="V21" s="82" t="str">
        <x:v>Perfil misto; melhor atributo ofensivo 80, ofensiva secundária 70, robustez relativa 63% e Speed 100. O índice privilegia dano de hunt, sem ignorar sobrevivência.</x:v>
      </x:c>
      <x:c r="W21" s="82" t="str">
        <x:v>Fica atrás de Sneasel principalmente por teto ofensivo 15.8% menor e velocidade 13.0% menor.</x:v>
      </x:c>
      <x:c r="X21" s="82" t="str">
        <x:v>Fica à frente de Weepinbell porque possui robustez sustentada 54.8% maior e velocidade 81.8% maior.</x:v>
      </x:c>
      <x:c r="Y21" s="154" t="str">
        <x:v>https://poke.idleworld.online/pokepedia/pokemon/tentacruel</x:v>
      </x:c>
    </x:row>
    <x:row r="22" ht="48" customHeight="1">
      <x:c r="A22" s="82" t="n">
        <x:f>IF(U22&lt;&gt;"Rankeado","",COUNTIFS($U$5:$U$48,"Rankeado",$I$5:$I$48,"&gt;"&amp;I22)+COUNTIFS($U$5:U22,"Rankeado",$I$5:I22,I22))</x:f>
        <x:v>18</x:v>
      </x:c>
      <x:c r="B22" s="82" t="n">
        <x:f>COUNTIF($I$5:$I$48,"&gt;"&amp;I22)+COUNTIF($I$5:I22,I22)</x:f>
        <x:v>18</x:v>
      </x:c>
      <x:c r="C22" s="82" t="str">
        <x:f>IF(I22&gt;=80,"S+",IF(I22&gt;=72,"S",IF(I22&gt;=65,"A",IF(I22&gt;=58,"B",IF(I22&gt;=50,"C",IF(I22&gt;=42,"D","E"))))))</x:f>
        <x:v>C</x:v>
      </x:c>
      <x:c r="D22" s="82" t="str">
        <x:f>IF(AND(U22="Rankeado",A22&lt;=6),"Sim","Não")</x:f>
        <x:v>Não</x:v>
      </x:c>
      <x:c r="E22" s="82" t="n">
        <x:v>70</x:v>
      </x:c>
      <x:c r="F22" s="80" t="str">
        <x:v>Weepinbell</x:v>
      </x:c>
      <x:c r="G22" s="82" t="str">
        <x:v>Planta / Veneno</x:v>
      </x:c>
      <x:c r="H22" s="82" t="str">
        <x:v>Misto</x:v>
      </x:c>
      <x:c r="I22" s="142" t="n">
        <x:f>ROUND(100*(Metodologia!$B$17*(Q22/Metodologia!$B$22)+Metodologia!$B$18*(R22/Metodologia!$B$23)+Metodologia!$B$19*(S22/Metodologia!$B$24)+Metodologia!$B$20*(P22/Metodologia!$B$25)+Metodologia!$B$21*(J22/Metodologia!$B$26)),2)</x:f>
        <x:v>55.46</x:v>
      </x:c>
      <x:c r="J22" s="82" t="n">
        <x:f>SUM(K22:P22)</x:f>
        <x:v>390</x:v>
      </x:c>
      <x:c r="K22" s="82" t="n">
        <x:v>65</x:v>
      </x:c>
      <x:c r="L22" s="82" t="n">
        <x:v>90</x:v>
      </x:c>
      <x:c r="M22" s="82" t="n">
        <x:v>50</x:v>
      </x:c>
      <x:c r="N22" s="82" t="n">
        <x:v>85</x:v>
      </x:c>
      <x:c r="O22" s="82" t="n">
        <x:v>45</x:v>
      </x:c>
      <x:c r="P22" s="82" t="n">
        <x:v>55</x:v>
      </x:c>
      <x:c r="Q22" s="143" t="n">
        <x:f>MAX(L22,N22)*Metodologia!$B$16</x:f>
        <x:v>117</x:v>
      </x:c>
      <x:c r="R22" s="143" t="n">
        <x:f>MIN(L22,N22)*Metodologia!$B$16</x:f>
        <x:v>110.5</x:v>
      </x:c>
      <x:c r="S22" s="143" t="n">
        <x:f>SQRT(K22*AVERAGE(M22,O22)*Metodologia!$B$16)</x:f>
        <x:v>63.35416324125826</x:v>
      </x:c>
      <x:c r="T22" s="82" t="str">
        <x:v>Sim</x:v>
      </x:c>
      <x:c r="U22" s="82" t="str">
        <x:v>Rankeado</x:v>
      </x:c>
      <x:c r="V22" s="82" t="str">
        <x:v>Perfil misto; melhor atributo ofensivo 90, ofensiva secundária 85, robustez relativa 41% e Speed 55. O índice privilegia dano de hunt, sem ignorar sobrevivência.</x:v>
      </x:c>
      <x:c r="W22" s="82" t="str">
        <x:v>Fica atrás de Tentacruel principalmente por robustez sustentada 35.4% menor e velocidade 45.0% menor.</x:v>
      </x:c>
      <x:c r="X22" s="82" t="str">
        <x:v>Fica à frente de Murkrow porque possui teto ofensivo 5.9% maior e robustez sustentada 10.7% maior.</x:v>
      </x:c>
      <x:c r="Y22" s="154" t="str">
        <x:v>https://poke.idleworld.online/pokepedia/pokemon/weepinbell</x:v>
      </x:c>
    </x:row>
    <x:row r="23" ht="48" customHeight="1">
      <x:c r="A23" s="82" t="n">
        <x:f>IF(U23&lt;&gt;"Rankeado","",COUNTIFS($U$5:$U$48,"Rankeado",$I$5:$I$48,"&gt;"&amp;I23)+COUNTIFS($U$5:U23,"Rankeado",$I$5:I23,I23))</x:f>
        <x:v>19</x:v>
      </x:c>
      <x:c r="B23" s="82" t="n">
        <x:f>COUNTIF($I$5:$I$48,"&gt;"&amp;I23)+COUNTIF($I$5:I23,I23)</x:f>
        <x:v>19</x:v>
      </x:c>
      <x:c r="C23" s="82" t="str">
        <x:f>IF(I23&gt;=80,"S+",IF(I23&gt;=72,"S",IF(I23&gt;=65,"A",IF(I23&gt;=58,"B",IF(I23&gt;=50,"C",IF(I23&gt;=42,"D","E"))))))</x:f>
        <x:v>C</x:v>
      </x:c>
      <x:c r="D23" s="82" t="str">
        <x:f>IF(AND(U23="Rankeado",A23&lt;=6),"Sim","Não")</x:f>
        <x:v>Não</x:v>
      </x:c>
      <x:c r="E23" s="82" t="n">
        <x:v>198</x:v>
      </x:c>
      <x:c r="F23" s="80" t="str">
        <x:v>Murkrow</x:v>
      </x:c>
      <x:c r="G23" s="82" t="str">
        <x:v>Sombrio / Voador</x:v>
      </x:c>
      <x:c r="H23" s="82" t="str">
        <x:v>Misto</x:v>
      </x:c>
      <x:c r="I23" s="142" t="n">
        <x:f>ROUND(100*(Metodologia!$B$17*(Q23/Metodologia!$B$22)+Metodologia!$B$18*(R23/Metodologia!$B$23)+Metodologia!$B$19*(S23/Metodologia!$B$24)+Metodologia!$B$20*(P23/Metodologia!$B$25)+Metodologia!$B$21*(J23/Metodologia!$B$26)),2)</x:f>
        <x:v>55.43</x:v>
      </x:c>
      <x:c r="J23" s="82" t="n">
        <x:f>SUM(K23:P23)</x:f>
        <x:v>405</x:v>
      </x:c>
      <x:c r="K23" s="82" t="n">
        <x:v>60</x:v>
      </x:c>
      <x:c r="L23" s="82" t="n">
        <x:v>85</x:v>
      </x:c>
      <x:c r="M23" s="82" t="n">
        <x:v>42</x:v>
      </x:c>
      <x:c r="N23" s="82" t="n">
        <x:v>85</x:v>
      </x:c>
      <x:c r="O23" s="82" t="n">
        <x:v>42</x:v>
      </x:c>
      <x:c r="P23" s="82" t="n">
        <x:v>91</x:v>
      </x:c>
      <x:c r="Q23" s="143" t="n">
        <x:f>MAX(L23,N23)*Metodologia!$B$16</x:f>
        <x:v>110.5</x:v>
      </x:c>
      <x:c r="R23" s="143" t="n">
        <x:f>MIN(L23,N23)*Metodologia!$B$16</x:f>
        <x:v>110.5</x:v>
      </x:c>
      <x:c r="S23" s="143" t="n">
        <x:f>SQRT(K23*AVERAGE(M23,O23)*Metodologia!$B$16)</x:f>
        <x:v>57.23635208501674</x:v>
      </x:c>
      <x:c r="T23" s="82" t="str">
        <x:v>Não</x:v>
      </x:c>
      <x:c r="U23" s="82" t="str">
        <x:v>Rankeado</x:v>
      </x:c>
      <x:c r="V23" s="82" t="str">
        <x:v>Perfil misto; melhor atributo ofensivo 85, ofensiva secundária 85, robustez relativa 37% e Speed 91. O índice privilegia dano de hunt, sem ignorar sobrevivência.</x:v>
      </x:c>
      <x:c r="W23" s="82" t="str">
        <x:v>Fica atrás de Weepinbell principalmente por teto ofensivo 5.6% menor e robustez sustentada 9.7% menor.</x:v>
      </x:c>
      <x:c r="X23" s="82" t="str">
        <x:v>Fica à frente de Misdreavus porque possui ofensiva secundária 41.7% maior e velocidade 7.1% maior.</x:v>
      </x:c>
      <x:c r="Y23" s="154" t="str">
        <x:v>https://poke.idleworld.online/pokepedia/pokemon/murkrow</x:v>
      </x:c>
    </x:row>
    <x:row r="24" ht="48" customHeight="1">
      <x:c r="A24" s="82" t="n">
        <x:f>IF(U24&lt;&gt;"Rankeado","",COUNTIFS($U$5:$U$48,"Rankeado",$I$5:$I$48,"&gt;"&amp;I24)+COUNTIFS($U$5:U24,"Rankeado",$I$5:I24,I24))</x:f>
        <x:v>20</x:v>
      </x:c>
      <x:c r="B24" s="82" t="n">
        <x:f>COUNTIF($I$5:$I$48,"&gt;"&amp;I24)+COUNTIF($I$5:I24,I24)</x:f>
        <x:v>20</x:v>
      </x:c>
      <x:c r="C24" s="82" t="str">
        <x:f>IF(I24&gt;=80,"S+",IF(I24&gt;=72,"S",IF(I24&gt;=65,"A",IF(I24&gt;=58,"B",IF(I24&gt;=50,"C",IF(I24&gt;=42,"D","E"))))))</x:f>
        <x:v>C</x:v>
      </x:c>
      <x:c r="D24" s="82" t="str">
        <x:f>IF(AND(U24="Rankeado",A24&lt;=6),"Sim","Não")</x:f>
        <x:v>Não</x:v>
      </x:c>
      <x:c r="E24" s="82" t="n">
        <x:v>200</x:v>
      </x:c>
      <x:c r="F24" s="80" t="str">
        <x:v>Misdreavus</x:v>
      </x:c>
      <x:c r="G24" s="82" t="str">
        <x:v>Fantasma</x:v>
      </x:c>
      <x:c r="H24" s="82" t="str">
        <x:v>Especial</x:v>
      </x:c>
      <x:c r="I24" s="142" t="n">
        <x:f>ROUND(100*(Metodologia!$B$17*(Q24/Metodologia!$B$22)+Metodologia!$B$18*(R24/Metodologia!$B$23)+Metodologia!$B$19*(S24/Metodologia!$B$24)+Metodologia!$B$20*(P24/Metodologia!$B$25)+Metodologia!$B$21*(J24/Metodologia!$B$26)),2)</x:f>
        <x:v>54.71</x:v>
      </x:c>
      <x:c r="J24" s="82" t="n">
        <x:f>SUM(K24:P24)</x:f>
        <x:v>435</x:v>
      </x:c>
      <x:c r="K24" s="82" t="n">
        <x:v>60</x:v>
      </x:c>
      <x:c r="L24" s="82" t="n">
        <x:v>60</x:v>
      </x:c>
      <x:c r="M24" s="82" t="n">
        <x:v>60</x:v>
      </x:c>
      <x:c r="N24" s="82" t="n">
        <x:v>85</x:v>
      </x:c>
      <x:c r="O24" s="82" t="n">
        <x:v>85</x:v>
      </x:c>
      <x:c r="P24" s="82" t="n">
        <x:v>85</x:v>
      </x:c>
      <x:c r="Q24" s="143" t="n">
        <x:f>MAX(L24,N24)*Metodologia!$B$16</x:f>
        <x:v>110.5</x:v>
      </x:c>
      <x:c r="R24" s="143" t="n">
        <x:f>MIN(L24,N24)*Metodologia!$B$16</x:f>
        <x:v>78</x:v>
      </x:c>
      <x:c r="S24" s="143" t="n">
        <x:f>SQRT(K24*AVERAGE(M24,O24)*Metodologia!$B$16)</x:f>
        <x:v>75.1997340420829</x:v>
      </x:c>
      <x:c r="T24" s="82" t="str">
        <x:v>Sim</x:v>
      </x:c>
      <x:c r="U24" s="82" t="str">
        <x:v>Rankeado</x:v>
      </x:c>
      <x:c r="V24" s="82" t="str">
        <x:v>Perfil especial; melhor atributo ofensivo 85, ofensiva secundária 60, robustez relativa 49% e Speed 85. O índice privilegia dano de hunt, sem ignorar sobrevivência.</x:v>
      </x:c>
      <x:c r="W24" s="82" t="str">
        <x:v>Fica atrás de Murkrow principalmente por ofensiva secundária 29.4% menor e velocidade 6.6% menor.</x:v>
      </x:c>
      <x:c r="X24" s="82" t="str">
        <x:v>Fica à frente de Golbat porque possui teto ofensivo 6.2% maior.</x:v>
      </x:c>
      <x:c r="Y24" s="154" t="str">
        <x:v>https://poke.idleworld.online/pokepedia/pokemon/misdreavus</x:v>
      </x:c>
    </x:row>
    <x:row r="25" ht="48" customHeight="1">
      <x:c r="A25" s="82" t="n">
        <x:f>IF(U25&lt;&gt;"Rankeado","",COUNTIFS($U$5:$U$48,"Rankeado",$I$5:$I$48,"&gt;"&amp;I25)+COUNTIFS($U$5:U25,"Rankeado",$I$5:I25,I25))</x:f>
        <x:v>21</x:v>
      </x:c>
      <x:c r="B25" s="82" t="n">
        <x:f>COUNTIF($I$5:$I$48,"&gt;"&amp;I25)+COUNTIF($I$5:I25,I25)</x:f>
        <x:v>21</x:v>
      </x:c>
      <x:c r="C25" s="82" t="str">
        <x:f>IF(I25&gt;=80,"S+",IF(I25&gt;=72,"S",IF(I25&gt;=65,"A",IF(I25&gt;=58,"B",IF(I25&gt;=50,"C",IF(I25&gt;=42,"D","E"))))))</x:f>
        <x:v>C</x:v>
      </x:c>
      <x:c r="D25" s="82" t="str">
        <x:f>IF(AND(U25="Rankeado",A25&lt;=6),"Sim","Não")</x:f>
        <x:v>Não</x:v>
      </x:c>
      <x:c r="E25" s="82" t="n">
        <x:v>42</x:v>
      </x:c>
      <x:c r="F25" s="80" t="str">
        <x:v>Golbat</x:v>
      </x:c>
      <x:c r="G25" s="82" t="str">
        <x:v>Veneno / Voador</x:v>
      </x:c>
      <x:c r="H25" s="82" t="str">
        <x:v>Físico</x:v>
      </x:c>
      <x:c r="I25" s="142" t="n">
        <x:f>ROUND(100*(Metodologia!$B$17*(Q25/Metodologia!$B$22)+Metodologia!$B$18*(R25/Metodologia!$B$23)+Metodologia!$B$19*(S25/Metodologia!$B$24)+Metodologia!$B$20*(P25/Metodologia!$B$25)+Metodologia!$B$21*(J25/Metodologia!$B$26)),2)</x:f>
        <x:v>54.56</x:v>
      </x:c>
      <x:c r="J25" s="82" t="n">
        <x:f>SUM(K25:P25)</x:f>
        <x:v>455</x:v>
      </x:c>
      <x:c r="K25" s="82" t="n">
        <x:v>75</x:v>
      </x:c>
      <x:c r="L25" s="82" t="n">
        <x:v>80</x:v>
      </x:c>
      <x:c r="M25" s="82" t="n">
        <x:v>70</x:v>
      </x:c>
      <x:c r="N25" s="82" t="n">
        <x:v>65</x:v>
      </x:c>
      <x:c r="O25" s="82" t="n">
        <x:v>75</x:v>
      </x:c>
      <x:c r="P25" s="82" t="n">
        <x:v>90</x:v>
      </x:c>
      <x:c r="Q25" s="143" t="n">
        <x:f>MAX(L25,N25)*Metodologia!$B$16</x:f>
        <x:v>104</x:v>
      </x:c>
      <x:c r="R25" s="143" t="n">
        <x:f>MIN(L25,N25)*Metodologia!$B$16</x:f>
        <x:v>84.5</x:v>
      </x:c>
      <x:c r="S25" s="143" t="n">
        <x:f>SQRT(K25*AVERAGE(M25,O25)*Metodologia!$B$16)</x:f>
        <x:v>84.07585860400118</x:v>
      </x:c>
      <x:c r="T25" s="82" t="str">
        <x:v>Sim</x:v>
      </x:c>
      <x:c r="U25" s="82" t="str">
        <x:v>Rankeado</x:v>
      </x:c>
      <x:c r="V25" s="82" t="str">
        <x:v>Perfil físico; melhor atributo ofensivo 80, ofensiva secundária 65, robustez relativa 54% e Speed 90. O índice privilegia dano de hunt, sem ignorar sobrevivência.</x:v>
      </x:c>
      <x:c r="W25" s="82" t="str">
        <x:v>Fica atrás de Misdreavus principalmente por teto ofensivo 5.9% menor.</x:v>
      </x:c>
      <x:c r="X25" s="82" t="str">
        <x:v>Fica à frente de Beedrill porque possui ofensiva secundária 44.4% maior e robustez sustentada 18.1% maior.</x:v>
      </x:c>
      <x:c r="Y25" s="154" t="str">
        <x:v>https://poke.idleworld.online/pokepedia/pokemon/golbat</x:v>
      </x:c>
    </x:row>
    <x:row r="26" ht="48" customHeight="1">
      <x:c r="A26" s="82" t="n">
        <x:f>IF(U26&lt;&gt;"Rankeado","",COUNTIFS($U$5:$U$48,"Rankeado",$I$5:$I$48,"&gt;"&amp;I26)+COUNTIFS($U$5:U26,"Rankeado",$I$5:I26,I26))</x:f>
        <x:v>22</x:v>
      </x:c>
      <x:c r="B26" s="82" t="n">
        <x:f>COUNTIF($I$5:$I$48,"&gt;"&amp;I26)+COUNTIF($I$5:I26,I26)</x:f>
        <x:v>22</x:v>
      </x:c>
      <x:c r="C26" s="82" t="str">
        <x:f>IF(I26&gt;=80,"S+",IF(I26&gt;=72,"S",IF(I26&gt;=65,"A",IF(I26&gt;=58,"B",IF(I26&gt;=50,"C",IF(I26&gt;=42,"D","E"))))))</x:f>
        <x:v>C</x:v>
      </x:c>
      <x:c r="D26" s="82" t="str">
        <x:f>IF(AND(U26="Rankeado",A26&lt;=6),"Sim","Não")</x:f>
        <x:v>Não</x:v>
      </x:c>
      <x:c r="E26" s="82" t="n">
        <x:v>15</x:v>
      </x:c>
      <x:c r="F26" s="80" t="str">
        <x:v>Beedrill</x:v>
      </x:c>
      <x:c r="G26" s="82" t="str">
        <x:v>Inseto / Veneno</x:v>
      </x:c>
      <x:c r="H26" s="82" t="str">
        <x:v>Físico</x:v>
      </x:c>
      <x:c r="I26" s="142" t="n">
        <x:f>ROUND(100*(Metodologia!$B$17*(Q26/Metodologia!$B$22)+Metodologia!$B$18*(R26/Metodologia!$B$23)+Metodologia!$B$19*(S26/Metodologia!$B$24)+Metodologia!$B$20*(P26/Metodologia!$B$25)+Metodologia!$B$21*(J26/Metodologia!$B$26)),2)</x:f>
        <x:v>53.95</x:v>
      </x:c>
      <x:c r="J26" s="82" t="n">
        <x:f>SUM(K26:P26)</x:f>
        <x:v>395</x:v>
      </x:c>
      <x:c r="K26" s="82" t="n">
        <x:v>65</x:v>
      </x:c>
      <x:c r="L26" s="82" t="n">
        <x:v>90</x:v>
      </x:c>
      <x:c r="M26" s="82" t="n">
        <x:v>40</x:v>
      </x:c>
      <x:c r="N26" s="82" t="n">
        <x:v>45</x:v>
      </x:c>
      <x:c r="O26" s="82" t="n">
        <x:v>80</x:v>
      </x:c>
      <x:c r="P26" s="82" t="n">
        <x:v>75</x:v>
      </x:c>
      <x:c r="Q26" s="143" t="n">
        <x:f>MAX(L26,N26)*Metodologia!$B$16</x:f>
        <x:v>117</x:v>
      </x:c>
      <x:c r="R26" s="143" t="n">
        <x:f>MIN(L26,N26)*Metodologia!$B$16</x:f>
        <x:v>58.5</x:v>
      </x:c>
      <x:c r="S26" s="143" t="n">
        <x:f>SQRT(K26*AVERAGE(M26,O26)*Metodologia!$B$16)</x:f>
        <x:v>71.20393247567159</x:v>
      </x:c>
      <x:c r="T26" s="82" t="str">
        <x:v>Sim</x:v>
      </x:c>
      <x:c r="U26" s="82" t="str">
        <x:v>Rankeado</x:v>
      </x:c>
      <x:c r="V26" s="82" t="str">
        <x:v>Perfil físico; melhor atributo ofensivo 90, ofensiva secundária 45, robustez relativa 46% e Speed 75. O índice privilegia dano de hunt, sem ignorar sobrevivência.</x:v>
      </x:c>
      <x:c r="W26" s="82" t="str">
        <x:v>Fica atrás de Golbat principalmente por ofensiva secundária 30.8% menor e robustez sustentada 15.3% menor.</x:v>
      </x:c>
      <x:c r="X26" s="82" t="str">
        <x:v>Fica à frente de Ariados porque possui velocidade 87.5% maior.</x:v>
      </x:c>
      <x:c r="Y26" s="154" t="str">
        <x:v>https://poke.idleworld.online/pokepedia/pokemon/beedrill</x:v>
      </x:c>
    </x:row>
    <x:row r="27" ht="48" customHeight="1">
      <x:c r="A27" s="82" t="n">
        <x:f>IF(U27&lt;&gt;"Rankeado","",COUNTIFS($U$5:$U$48,"Rankeado",$I$5:$I$48,"&gt;"&amp;I27)+COUNTIFS($U$5:U27,"Rankeado",$I$5:I27,I27))</x:f>
        <x:v>23</x:v>
      </x:c>
      <x:c r="B27" s="82" t="n">
        <x:f>COUNTIF($I$5:$I$48,"&gt;"&amp;I27)+COUNTIF($I$5:I27,I27)</x:f>
        <x:v>23</x:v>
      </x:c>
      <x:c r="C27" s="82" t="str">
        <x:f>IF(I27&gt;=80,"S+",IF(I27&gt;=72,"S",IF(I27&gt;=65,"A",IF(I27&gt;=58,"B",IF(I27&gt;=50,"C",IF(I27&gt;=42,"D","E"))))))</x:f>
        <x:v>C</x:v>
      </x:c>
      <x:c r="D27" s="82" t="str">
        <x:f>IF(AND(U27="Rankeado",A27&lt;=6),"Sim","Não")</x:f>
        <x:v>Não</x:v>
      </x:c>
      <x:c r="E27" s="82" t="n">
        <x:v>168</x:v>
      </x:c>
      <x:c r="F27" s="80" t="str">
        <x:v>Ariados</x:v>
      </x:c>
      <x:c r="G27" s="82" t="str">
        <x:v>Inseto / Veneno</x:v>
      </x:c>
      <x:c r="H27" s="82" t="str">
        <x:v>Físico</x:v>
      </x:c>
      <x:c r="I27" s="142" t="n">
        <x:f>ROUND(100*(Metodologia!$B$17*(Q27/Metodologia!$B$22)+Metodologia!$B$18*(R27/Metodologia!$B$23)+Metodologia!$B$19*(S27/Metodologia!$B$24)+Metodologia!$B$20*(P27/Metodologia!$B$25)+Metodologia!$B$21*(J27/Metodologia!$B$26)),2)</x:f>
        <x:v>53.85</x:v>
      </x:c>
      <x:c r="J27" s="82" t="n">
        <x:f>SUM(K27:P27)</x:f>
        <x:v>400</x:v>
      </x:c>
      <x:c r="K27" s="82" t="n">
        <x:v>70</x:v>
      </x:c>
      <x:c r="L27" s="82" t="n">
        <x:v>90</x:v>
      </x:c>
      <x:c r="M27" s="82" t="n">
        <x:v>70</x:v>
      </x:c>
      <x:c r="N27" s="82" t="n">
        <x:v>60</x:v>
      </x:c>
      <x:c r="O27" s="82" t="n">
        <x:v>70</x:v>
      </x:c>
      <x:c r="P27" s="82" t="n">
        <x:v>40</x:v>
      </x:c>
      <x:c r="Q27" s="143" t="n">
        <x:f>MAX(L27,N27)*Metodologia!$B$16</x:f>
        <x:v>117</x:v>
      </x:c>
      <x:c r="R27" s="143" t="n">
        <x:f>MIN(L27,N27)*Metodologia!$B$16</x:f>
        <x:v>78</x:v>
      </x:c>
      <x:c r="S27" s="143" t="n">
        <x:f>SQRT(K27*AVERAGE(M27,O27)*Metodologia!$B$16)</x:f>
        <x:v>79.81227975693966</x:v>
      </x:c>
      <x:c r="T27" s="82" t="str">
        <x:v>Não</x:v>
      </x:c>
      <x:c r="U27" s="82" t="str">
        <x:v>Rankeado</x:v>
      </x:c>
      <x:c r="V27" s="82" t="str">
        <x:v>Perfil físico; melhor atributo ofensivo 90, ofensiva secundária 60, robustez relativa 51% e Speed 40. O índice privilegia dano de hunt, sem ignorar sobrevivência.</x:v>
      </x:c>
      <x:c r="W27" s="82" t="str">
        <x:v>Fica atrás de Beedrill principalmente por velocidade 46.7% menor.</x:v>
      </x:c>
      <x:c r="X27" s="82" t="str">
        <x:v>Fica à frente de Gastly porque possui robustez sustentada 124.2% maior e ofensiva secundária 71.4% maior.</x:v>
      </x:c>
      <x:c r="Y27" s="154" t="str">
        <x:v>https://poke.idleworld.online/pokepedia/pokemon/ariados</x:v>
      </x:c>
    </x:row>
    <x:row r="28" ht="48" customHeight="1">
      <x:c r="A28" s="82" t="n">
        <x:f>IF(U28&lt;&gt;"Rankeado","",COUNTIFS($U$5:$U$48,"Rankeado",$I$5:$I$48,"&gt;"&amp;I28)+COUNTIFS($U$5:U28,"Rankeado",$I$5:I28,I28))</x:f>
        <x:v>24</x:v>
      </x:c>
      <x:c r="B28" s="82" t="n">
        <x:f>COUNTIF($I$5:$I$48,"&gt;"&amp;I28)+COUNTIF($I$5:I28,I28)</x:f>
        <x:v>24</x:v>
      </x:c>
      <x:c r="C28" s="82" t="str">
        <x:f>IF(I28&gt;=80,"S+",IF(I28&gt;=72,"S",IF(I28&gt;=65,"A",IF(I28&gt;=58,"B",IF(I28&gt;=50,"C",IF(I28&gt;=42,"D","E"))))))</x:f>
        <x:v>C</x:v>
      </x:c>
      <x:c r="D28" s="82" t="str">
        <x:f>IF(AND(U28="Rankeado",A28&lt;=6),"Sim","Não")</x:f>
        <x:v>Não</x:v>
      </x:c>
      <x:c r="E28" s="82" t="n">
        <x:v>92</x:v>
      </x:c>
      <x:c r="F28" s="80" t="str">
        <x:v>Gastly</x:v>
      </x:c>
      <x:c r="G28" s="82" t="str">
        <x:v>Fantasma / Veneno</x:v>
      </x:c>
      <x:c r="H28" s="82" t="str">
        <x:v>Especial</x:v>
      </x:c>
      <x:c r="I28" s="142" t="n">
        <x:f>ROUND(100*(Metodologia!$B$17*(Q28/Metodologia!$B$22)+Metodologia!$B$18*(R28/Metodologia!$B$23)+Metodologia!$B$19*(S28/Metodologia!$B$24)+Metodologia!$B$20*(P28/Metodologia!$B$25)+Metodologia!$B$21*(J28/Metodologia!$B$26)),2)</x:f>
        <x:v>53.2</x:v>
      </x:c>
      <x:c r="J28" s="82" t="n">
        <x:f>SUM(K28:P28)</x:f>
        <x:v>310</x:v>
      </x:c>
      <x:c r="K28" s="82" t="n">
        <x:v>30</x:v>
      </x:c>
      <x:c r="L28" s="82" t="n">
        <x:v>35</x:v>
      </x:c>
      <x:c r="M28" s="82" t="n">
        <x:v>30</x:v>
      </x:c>
      <x:c r="N28" s="82" t="n">
        <x:v>100</x:v>
      </x:c>
      <x:c r="O28" s="82" t="n">
        <x:v>35</x:v>
      </x:c>
      <x:c r="P28" s="82" t="n">
        <x:v>80</x:v>
      </x:c>
      <x:c r="Q28" s="143" t="n">
        <x:f>MAX(L28,N28)*Metodologia!$B$16</x:f>
        <x:v>130</x:v>
      </x:c>
      <x:c r="R28" s="143" t="n">
        <x:f>MIN(L28,N28)*Metodologia!$B$16</x:f>
        <x:v>45.5</x:v>
      </x:c>
      <x:c r="S28" s="143" t="n">
        <x:f>SQRT(K28*AVERAGE(M28,O28)*Metodologia!$B$16)</x:f>
        <x:v>35.601966237835796</x:v>
      </x:c>
      <x:c r="T28" s="82" t="str">
        <x:v>Sim</x:v>
      </x:c>
      <x:c r="U28" s="82" t="str">
        <x:v>Rankeado</x:v>
      </x:c>
      <x:c r="V28" s="82" t="str">
        <x:v>Perfil especial; melhor atributo ofensivo 100, ofensiva secundária 35, robustez relativa 23% e Speed 80. O índice privilegia dano de hunt, sem ignorar sobrevivência.</x:v>
      </x:c>
      <x:c r="W28" s="82" t="str">
        <x:v>Fica atrás de Ariados principalmente por robustez sustentada 55.4% menor e ofensiva secundária 41.7% menor.</x:v>
      </x:c>
      <x:c r="X28" s="82" t="str">
        <x:v>Fica à frente de Gloom porque possui teto ofensivo 17.6% maior e velocidade 100.0% maior.</x:v>
      </x:c>
      <x:c r="Y28" s="154" t="str">
        <x:v>https://poke.idleworld.online/pokepedia/pokemon/gastly</x:v>
      </x:c>
    </x:row>
    <x:row r="29" ht="48" customHeight="1">
      <x:c r="A29" s="82" t="n">
        <x:f>IF(U29&lt;&gt;"Rankeado","",COUNTIFS($U$5:$U$48,"Rankeado",$I$5:$I$48,"&gt;"&amp;I29)+COUNTIFS($U$5:U29,"Rankeado",$I$5:I29,I29))</x:f>
        <x:v>25</x:v>
      </x:c>
      <x:c r="B29" s="82" t="n">
        <x:f>COUNTIF($I$5:$I$48,"&gt;"&amp;I29)+COUNTIF($I$5:I29,I29)</x:f>
        <x:v>25</x:v>
      </x:c>
      <x:c r="C29" s="82" t="str">
        <x:f>IF(I29&gt;=80,"S+",IF(I29&gt;=72,"S",IF(I29&gt;=65,"A",IF(I29&gt;=58,"B",IF(I29&gt;=50,"C",IF(I29&gt;=42,"D","E"))))))</x:f>
        <x:v>C</x:v>
      </x:c>
      <x:c r="D29" s="82" t="str">
        <x:f>IF(AND(U29="Rankeado",A29&lt;=6),"Sim","Não")</x:f>
        <x:v>Não</x:v>
      </x:c>
      <x:c r="E29" s="82" t="n">
        <x:v>44</x:v>
      </x:c>
      <x:c r="F29" s="80" t="str">
        <x:v>Gloom</x:v>
      </x:c>
      <x:c r="G29" s="82" t="str">
        <x:v>Planta / Veneno</x:v>
      </x:c>
      <x:c r="H29" s="82" t="str">
        <x:v>Especial</x:v>
      </x:c>
      <x:c r="I29" s="142" t="n">
        <x:f>ROUND(100*(Metodologia!$B$17*(Q29/Metodologia!$B$22)+Metodologia!$B$18*(R29/Metodologia!$B$23)+Metodologia!$B$19*(S29/Metodologia!$B$24)+Metodologia!$B$20*(P29/Metodologia!$B$25)+Metodologia!$B$21*(J29/Metodologia!$B$26)),2)</x:f>
        <x:v>51.87</x:v>
      </x:c>
      <x:c r="J29" s="82" t="n">
        <x:f>SUM(K29:P29)</x:f>
        <x:v>395</x:v>
      </x:c>
      <x:c r="K29" s="82" t="n">
        <x:v>60</x:v>
      </x:c>
      <x:c r="L29" s="82" t="n">
        <x:v>65</x:v>
      </x:c>
      <x:c r="M29" s="82" t="n">
        <x:v>70</x:v>
      </x:c>
      <x:c r="N29" s="82" t="n">
        <x:v>85</x:v>
      </x:c>
      <x:c r="O29" s="82" t="n">
        <x:v>75</x:v>
      </x:c>
      <x:c r="P29" s="82" t="n">
        <x:v>40</x:v>
      </x:c>
      <x:c r="Q29" s="143" t="n">
        <x:f>MAX(L29,N29)*Metodologia!$B$16</x:f>
        <x:v>110.5</x:v>
      </x:c>
      <x:c r="R29" s="143" t="n">
        <x:f>MIN(L29,N29)*Metodologia!$B$16</x:f>
        <x:v>84.5</x:v>
      </x:c>
      <x:c r="S29" s="143" t="n">
        <x:f>SQRT(K29*AVERAGE(M29,O29)*Metodologia!$B$16)</x:f>
        <x:v>75.1997340420829</x:v>
      </x:c>
      <x:c r="T29" s="82" t="str">
        <x:v>Sim</x:v>
      </x:c>
      <x:c r="U29" s="82" t="str">
        <x:v>Rankeado</x:v>
      </x:c>
      <x:c r="V29" s="82" t="str">
        <x:v>Perfil especial; melhor atributo ofensivo 85, ofensiva secundária 65, robustez relativa 49% e Speed 40. O índice privilegia dano de hunt, sem ignorar sobrevivência.</x:v>
      </x:c>
      <x:c r="W29" s="82" t="str">
        <x:v>Fica atrás de Gastly principalmente por teto ofensivo 15.0% menor e velocidade 50.0% menor.</x:v>
      </x:c>
      <x:c r="X29" s="82" t="str">
        <x:v>Fica à frente de Ivysaur porque possui teto ofensivo 6.2% maior e ofensiva secundária 4.8% maior.</x:v>
      </x:c>
      <x:c r="Y29" s="154" t="str">
        <x:v>https://poke.idleworld.online/pokepedia/pokemon/gloom</x:v>
      </x:c>
    </x:row>
    <x:row r="30" ht="48" customHeight="1">
      <x:c r="A30" s="82" t="n">
        <x:f>IF(U30&lt;&gt;"Rankeado","",COUNTIFS($U$5:$U$48,"Rankeado",$I$5:$I$48,"&gt;"&amp;I30)+COUNTIFS($U$5:U30,"Rankeado",$I$5:I30,I30))</x:f>
        <x:v>26</x:v>
      </x:c>
      <x:c r="B30" s="82" t="n">
        <x:f>COUNTIF($I$5:$I$48,"&gt;"&amp;I30)+COUNTIF($I$5:I30,I30)</x:f>
        <x:v>26</x:v>
      </x:c>
      <x:c r="C30" s="82" t="str">
        <x:f>IF(I30&gt;=80,"S+",IF(I30&gt;=72,"S",IF(I30&gt;=65,"A",IF(I30&gt;=58,"B",IF(I30&gt;=50,"C",IF(I30&gt;=42,"D","E"))))))</x:f>
        <x:v>C</x:v>
      </x:c>
      <x:c r="D30" s="82" t="str">
        <x:f>IF(AND(U30="Rankeado",A30&lt;=6),"Sim","Não")</x:f>
        <x:v>Não</x:v>
      </x:c>
      <x:c r="E30" s="82" t="n">
        <x:v>2</x:v>
      </x:c>
      <x:c r="F30" s="80" t="str">
        <x:v>Ivysaur</x:v>
      </x:c>
      <x:c r="G30" s="82" t="str">
        <x:v>Planta / Veneno</x:v>
      </x:c>
      <x:c r="H30" s="82" t="str">
        <x:v>Especial</x:v>
      </x:c>
      <x:c r="I30" s="142" t="n">
        <x:f>ROUND(100*(Metodologia!$B$17*(Q30/Metodologia!$B$22)+Metodologia!$B$18*(R30/Metodologia!$B$23)+Metodologia!$B$19*(S30/Metodologia!$B$24)+Metodologia!$B$20*(P30/Metodologia!$B$25)+Metodologia!$B$21*(J30/Metodologia!$B$26)),2)</x:f>
        <x:v>51.01</x:v>
      </x:c>
      <x:c r="J30" s="82" t="n">
        <x:f>SUM(K30:P30)</x:f>
        <x:v>405</x:v>
      </x:c>
      <x:c r="K30" s="82" t="n">
        <x:v>60</x:v>
      </x:c>
      <x:c r="L30" s="82" t="n">
        <x:v>62</x:v>
      </x:c>
      <x:c r="M30" s="82" t="n">
        <x:v>63</x:v>
      </x:c>
      <x:c r="N30" s="82" t="n">
        <x:v>80</x:v>
      </x:c>
      <x:c r="O30" s="82" t="n">
        <x:v>80</x:v>
      </x:c>
      <x:c r="P30" s="82" t="n">
        <x:v>60</x:v>
      </x:c>
      <x:c r="Q30" s="143" t="n">
        <x:f>MAX(L30,N30)*Metodologia!$B$16</x:f>
        <x:v>104</x:v>
      </x:c>
      <x:c r="R30" s="143" t="n">
        <x:f>MIN(L30,N30)*Metodologia!$B$16</x:f>
        <x:v>80.60000000000001</x:v>
      </x:c>
      <x:c r="S30" s="143" t="n">
        <x:f>SQRT(K30*AVERAGE(M30,O30)*Metodologia!$B$16)</x:f>
        <x:v>74.67931440499437</x:v>
      </x:c>
      <x:c r="T30" s="82" t="str">
        <x:v>Sim</x:v>
      </x:c>
      <x:c r="U30" s="82" t="str">
        <x:v>Rankeado</x:v>
      </x:c>
      <x:c r="V30" s="82" t="str">
        <x:v>Perfil especial; melhor atributo ofensivo 80, ofensiva secundária 62, robustez relativa 48% e Speed 60. O índice privilegia dano de hunt, sem ignorar sobrevivência.</x:v>
      </x:c>
      <x:c r="W30" s="82" t="str">
        <x:v>Fica atrás de Gloom principalmente por teto ofensivo 5.9% menor e ofensiva secundária 4.6% menor.</x:v>
      </x:c>
      <x:c r="X30" s="82" t="str">
        <x:v>Fica à frente de Umbreon porque possui teto ofensivo 23.1% maior e ofensiva secundária 3.3% maior.</x:v>
      </x:c>
      <x:c r="Y30" s="154" t="str">
        <x:v>https://poke.idleworld.online/pokepedia/pokemon/ivysaur</x:v>
      </x:c>
    </x:row>
    <x:row r="31" ht="48" customHeight="1">
      <x:c r="A31" s="82" t="n">
        <x:f>IF(U31&lt;&gt;"Rankeado","",COUNTIFS($U$5:$U$48,"Rankeado",$I$5:$I$48,"&gt;"&amp;I31)+COUNTIFS($U$5:U31,"Rankeado",$I$5:I31,I31))</x:f>
        <x:v>27</x:v>
      </x:c>
      <x:c r="B31" s="82" t="n">
        <x:f>COUNTIF($I$5:$I$48,"&gt;"&amp;I31)+COUNTIF($I$5:I31,I31)</x:f>
        <x:v>27</x:v>
      </x:c>
      <x:c r="C31" s="82" t="str">
        <x:f>IF(I31&gt;=80,"S+",IF(I31&gt;=72,"S",IF(I31&gt;=65,"A",IF(I31&gt;=58,"B",IF(I31&gt;=50,"C",IF(I31&gt;=42,"D","E"))))))</x:f>
        <x:v>C</x:v>
      </x:c>
      <x:c r="D31" s="82" t="str">
        <x:f>IF(AND(U31="Rankeado",A31&lt;=6),"Sim","Não")</x:f>
        <x:v>Não</x:v>
      </x:c>
      <x:c r="E31" s="82" t="n">
        <x:v>197</x:v>
      </x:c>
      <x:c r="F31" s="80" t="str">
        <x:v>Umbreon</x:v>
      </x:c>
      <x:c r="G31" s="82" t="str">
        <x:v>Sombrio</x:v>
      </x:c>
      <x:c r="H31" s="82" t="str">
        <x:v>Misto</x:v>
      </x:c>
      <x:c r="I31" s="142" t="n">
        <x:f>ROUND(100*(Metodologia!$B$17*(Q31/Metodologia!$B$22)+Metodologia!$B$18*(R31/Metodologia!$B$23)+Metodologia!$B$19*(S31/Metodologia!$B$24)+Metodologia!$B$20*(P31/Metodologia!$B$25)+Metodologia!$B$21*(J31/Metodologia!$B$26)),2)</x:f>
        <x:v>50.75</x:v>
      </x:c>
      <x:c r="J31" s="82" t="n">
        <x:f>SUM(K31:P31)</x:f>
        <x:v>525</x:v>
      </x:c>
      <x:c r="K31" s="82" t="n">
        <x:v>95</x:v>
      </x:c>
      <x:c r="L31" s="82" t="n">
        <x:v>65</x:v>
      </x:c>
      <x:c r="M31" s="82" t="n">
        <x:v>110</x:v>
      </x:c>
      <x:c r="N31" s="82" t="n">
        <x:v>60</x:v>
      </x:c>
      <x:c r="O31" s="82" t="n">
        <x:v>130</x:v>
      </x:c>
      <x:c r="P31" s="82" t="n">
        <x:v>65</x:v>
      </x:c>
      <x:c r="Q31" s="143" t="n">
        <x:f>MAX(L31,N31)*Metodologia!$B$16</x:f>
        <x:v>84.5</x:v>
      </x:c>
      <x:c r="R31" s="143" t="n">
        <x:f>MIN(L31,N31)*Metodologia!$B$16</x:f>
        <x:v>78</x:v>
      </x:c>
      <x:c r="S31" s="143" t="n">
        <x:f>SQRT(K31*AVERAGE(M31,O31)*Metodologia!$B$16)</x:f>
        <x:v>121.73742234826561</x:v>
      </x:c>
      <x:c r="T31" s="82" t="str">
        <x:v>Não</x:v>
      </x:c>
      <x:c r="U31" s="82" t="str">
        <x:v>Rankeado</x:v>
      </x:c>
      <x:c r="V31" s="82" t="str">
        <x:v>Perfil misto; melhor atributo ofensivo 65, ofensiva secundária 60, robustez relativa 79% e Speed 65. O índice privilegia dano de hunt, sem ignorar sobrevivência.</x:v>
      </x:c>
      <x:c r="W31" s="82" t="str">
        <x:v>Fica atrás de Ivysaur principalmente por teto ofensivo 18.8% menor e ofensiva secundária 3.2% menor.</x:v>
      </x:c>
      <x:c r="X31" s="82" t="str">
        <x:v>Fica à frente de Houndour porque possui robustez sustentada 151.7% maior e total de stats 59.1% maior.</x:v>
      </x:c>
      <x:c r="Y31" s="154" t="str">
        <x:v>https://poke.idleworld.online/pokepedia/pokemon/umbreon</x:v>
      </x:c>
    </x:row>
    <x:row r="32" ht="48" customHeight="1">
      <x:c r="A32" s="82" t="n">
        <x:f>IF(U32&lt;&gt;"Rankeado","",COUNTIFS($U$5:$U$48,"Rankeado",$I$5:$I$48,"&gt;"&amp;I32)+COUNTIFS($U$5:U32,"Rankeado",$I$5:I32,I32))</x:f>
        <x:v>28</x:v>
      </x:c>
      <x:c r="B32" s="82" t="n">
        <x:f>COUNTIF($I$5:$I$48,"&gt;"&amp;I32)+COUNTIF($I$5:I32,I32)</x:f>
        <x:v>28</x:v>
      </x:c>
      <x:c r="C32" s="82" t="str">
        <x:f>IF(I32&gt;=80,"S+",IF(I32&gt;=72,"S",IF(I32&gt;=65,"A",IF(I32&gt;=58,"B",IF(I32&gt;=50,"C",IF(I32&gt;=42,"D","E"))))))</x:f>
        <x:v>D</x:v>
      </x:c>
      <x:c r="D32" s="82" t="str">
        <x:f>IF(AND(U32="Rankeado",A32&lt;=6),"Sim","Não")</x:f>
        <x:v>Não</x:v>
      </x:c>
      <x:c r="E32" s="82" t="n">
        <x:v>228</x:v>
      </x:c>
      <x:c r="F32" s="80" t="str">
        <x:v>Houndour</x:v>
      </x:c>
      <x:c r="G32" s="82" t="str">
        <x:v>Sombrio / Fogo</x:v>
      </x:c>
      <x:c r="H32" s="82" t="str">
        <x:v>Especial</x:v>
      </x:c>
      <x:c r="I32" s="142" t="n">
        <x:f>ROUND(100*(Metodologia!$B$17*(Q32/Metodologia!$B$22)+Metodologia!$B$18*(R32/Metodologia!$B$23)+Metodologia!$B$19*(S32/Metodologia!$B$24)+Metodologia!$B$20*(P32/Metodologia!$B$25)+Metodologia!$B$21*(J32/Metodologia!$B$26)),2)</x:f>
        <x:v>48.06</x:v>
      </x:c>
      <x:c r="J32" s="82" t="n">
        <x:f>SUM(K32:P32)</x:f>
        <x:v>330</x:v>
      </x:c>
      <x:c r="K32" s="82" t="n">
        <x:v>45</x:v>
      </x:c>
      <x:c r="L32" s="82" t="n">
        <x:v>60</x:v>
      </x:c>
      <x:c r="M32" s="82" t="n">
        <x:v>30</x:v>
      </x:c>
      <x:c r="N32" s="82" t="n">
        <x:v>80</x:v>
      </x:c>
      <x:c r="O32" s="82" t="n">
        <x:v>50</x:v>
      </x:c>
      <x:c r="P32" s="82" t="n">
        <x:v>65</x:v>
      </x:c>
      <x:c r="Q32" s="143" t="n">
        <x:f>MAX(L32,N32)*Metodologia!$B$16</x:f>
        <x:v>104</x:v>
      </x:c>
      <x:c r="R32" s="143" t="n">
        <x:f>MIN(L32,N32)*Metodologia!$B$16</x:f>
        <x:v>78</x:v>
      </x:c>
      <x:c r="S32" s="143" t="n">
        <x:f>SQRT(K32*AVERAGE(M32,O32)*Metodologia!$B$16)</x:f>
        <x:v>48.373546489791295</x:v>
      </x:c>
      <x:c r="T32" s="82" t="str">
        <x:v>Sim</x:v>
      </x:c>
      <x:c r="U32" s="82" t="str">
        <x:v>Rankeado</x:v>
      </x:c>
      <x:c r="V32" s="82" t="str">
        <x:v>Perfil especial; melhor atributo ofensivo 80, ofensiva secundária 60, robustez relativa 31% e Speed 65. O índice privilegia dano de hunt, sem ignorar sobrevivência.</x:v>
      </x:c>
      <x:c r="W32" s="82" t="str">
        <x:v>Fica atrás de Umbreon principalmente por robustez sustentada 60.3% menor e total de stats 37.1% menor.</x:v>
      </x:c>
      <x:c r="X32" s="82" t="str">
        <x:v>Fica à frente de Nidorino porque possui teto ofensivo 11.1% maior e ofensiva secundária 9.1% maior.</x:v>
      </x:c>
      <x:c r="Y32" s="154" t="str">
        <x:v>https://poke.idleworld.online/pokepedia/pokemon/houndour</x:v>
      </x:c>
    </x:row>
    <x:row r="33" ht="48" customHeight="1">
      <x:c r="A33" s="82" t="n">
        <x:f>IF(U33&lt;&gt;"Rankeado","",COUNTIFS($U$5:$U$48,"Rankeado",$I$5:$I$48,"&gt;"&amp;I33)+COUNTIFS($U$5:U33,"Rankeado",$I$5:I33,I33))</x:f>
        <x:v>29</x:v>
      </x:c>
      <x:c r="B33" s="82" t="n">
        <x:f>COUNTIF($I$5:$I$48,"&gt;"&amp;I33)+COUNTIF($I$5:I33,I33)</x:f>
        <x:v>29</x:v>
      </x:c>
      <x:c r="C33" s="82" t="str">
        <x:f>IF(I33&gt;=80,"S+",IF(I33&gt;=72,"S",IF(I33&gt;=65,"A",IF(I33&gt;=58,"B",IF(I33&gt;=50,"C",IF(I33&gt;=42,"D","E"))))))</x:f>
        <x:v>D</x:v>
      </x:c>
      <x:c r="D33" s="82" t="str">
        <x:f>IF(AND(U33="Rankeado",A33&lt;=6),"Sim","Não")</x:f>
        <x:v>Não</x:v>
      </x:c>
      <x:c r="E33" s="82" t="n">
        <x:v>33</x:v>
      </x:c>
      <x:c r="F33" s="80" t="str">
        <x:v>Nidorino</x:v>
      </x:c>
      <x:c r="G33" s="82" t="str">
        <x:v>Veneno</x:v>
      </x:c>
      <x:c r="H33" s="82" t="str">
        <x:v>Físico</x:v>
      </x:c>
      <x:c r="I33" s="142" t="n">
        <x:f>ROUND(100*(Metodologia!$B$17*(Q33/Metodologia!$B$22)+Metodologia!$B$18*(R33/Metodologia!$B$23)+Metodologia!$B$19*(S33/Metodologia!$B$24)+Metodologia!$B$20*(P33/Metodologia!$B$25)+Metodologia!$B$21*(J33/Metodologia!$B$26)),2)</x:f>
        <x:v>46.52</x:v>
      </x:c>
      <x:c r="J33" s="82" t="n">
        <x:f>SUM(K33:P33)</x:f>
        <x:v>365</x:v>
      </x:c>
      <x:c r="K33" s="82" t="n">
        <x:v>61</x:v>
      </x:c>
      <x:c r="L33" s="82" t="n">
        <x:v>72</x:v>
      </x:c>
      <x:c r="M33" s="82" t="n">
        <x:v>57</x:v>
      </x:c>
      <x:c r="N33" s="82" t="n">
        <x:v>55</x:v>
      </x:c>
      <x:c r="O33" s="82" t="n">
        <x:v>55</x:v>
      </x:c>
      <x:c r="P33" s="82" t="n">
        <x:v>65</x:v>
      </x:c>
      <x:c r="Q33" s="143" t="n">
        <x:f>MAX(L33,N33)*Metodologia!$B$16</x:f>
        <x:v>93.60000000000001</x:v>
      </x:c>
      <x:c r="R33" s="143" t="n">
        <x:f>MIN(L33,N33)*Metodologia!$B$16</x:f>
        <x:v>71.5</x:v>
      </x:c>
      <x:c r="S33" s="143" t="n">
        <x:f>SQRT(K33*AVERAGE(M33,O33)*Metodologia!$B$16)</x:f>
        <x:v>66.63932772770146</x:v>
      </x:c>
      <x:c r="T33" s="82" t="str">
        <x:v>Sim</x:v>
      </x:c>
      <x:c r="U33" s="82" t="str">
        <x:v>Rankeado</x:v>
      </x:c>
      <x:c r="V33" s="82" t="str">
        <x:v>Perfil físico; melhor atributo ofensivo 72, ofensiva secundária 55, robustez relativa 43% e Speed 65. O índice privilegia dano de hunt, sem ignorar sobrevivência.</x:v>
      </x:c>
      <x:c r="W33" s="82" t="str">
        <x:v>Fica atrás de Houndour principalmente por teto ofensivo 10.0% menor e ofensiva secundária 8.3% menor.</x:v>
      </x:c>
      <x:c r="X33" s="82" t="str">
        <x:v>Fica à frente de Grimer porque possui velocidade 160.0% maior e ofensiva secundária 37.5% maior.</x:v>
      </x:c>
      <x:c r="Y33" s="154" t="str">
        <x:v>https://poke.idleworld.online/pokepedia/pokemon/nidorino</x:v>
      </x:c>
    </x:row>
    <x:row r="34" ht="48" customHeight="1">
      <x:c r="A34" s="82" t="n">
        <x:f>IF(U34&lt;&gt;"Rankeado","",COUNTIFS($U$5:$U$48,"Rankeado",$I$5:$I$48,"&gt;"&amp;I34)+COUNTIFS($U$5:U34,"Rankeado",$I$5:I34,I34))</x:f>
        <x:v>30</x:v>
      </x:c>
      <x:c r="B34" s="82" t="n">
        <x:f>COUNTIF($I$5:$I$48,"&gt;"&amp;I34)+COUNTIF($I$5:I34,I34)</x:f>
        <x:v>30</x:v>
      </x:c>
      <x:c r="C34" s="82" t="str">
        <x:f>IF(I34&gt;=80,"S+",IF(I34&gt;=72,"S",IF(I34&gt;=65,"A",IF(I34&gt;=58,"B",IF(I34&gt;=50,"C",IF(I34&gt;=42,"D","E"))))))</x:f>
        <x:v>D</x:v>
      </x:c>
      <x:c r="D34" s="82" t="str">
        <x:f>IF(AND(U34="Rankeado",A34&lt;=6),"Sim","Não")</x:f>
        <x:v>Não</x:v>
      </x:c>
      <x:c r="E34" s="82" t="n">
        <x:v>88</x:v>
      </x:c>
      <x:c r="F34" s="80" t="str">
        <x:v>Grimer</x:v>
      </x:c>
      <x:c r="G34" s="82" t="str">
        <x:v>Veneno</x:v>
      </x:c>
      <x:c r="H34" s="82" t="str">
        <x:v>Físico</x:v>
      </x:c>
      <x:c r="I34" s="142" t="n">
        <x:f>ROUND(100*(Metodologia!$B$17*(Q34/Metodologia!$B$22)+Metodologia!$B$18*(R34/Metodologia!$B$23)+Metodologia!$B$19*(S34/Metodologia!$B$24)+Metodologia!$B$20*(P34/Metodologia!$B$25)+Metodologia!$B$21*(J34/Metodologia!$B$26)),2)</x:f>
        <x:v>45.84</x:v>
      </x:c>
      <x:c r="J34" s="82" t="n">
        <x:f>SUM(K34:P34)</x:f>
        <x:v>325</x:v>
      </x:c>
      <x:c r="K34" s="82" t="n">
        <x:v>80</x:v>
      </x:c>
      <x:c r="L34" s="82" t="n">
        <x:v>80</x:v>
      </x:c>
      <x:c r="M34" s="82" t="n">
        <x:v>50</x:v>
      </x:c>
      <x:c r="N34" s="82" t="n">
        <x:v>40</x:v>
      </x:c>
      <x:c r="O34" s="82" t="n">
        <x:v>50</x:v>
      </x:c>
      <x:c r="P34" s="82" t="n">
        <x:v>25</x:v>
      </x:c>
      <x:c r="Q34" s="143" t="n">
        <x:f>MAX(L34,N34)*Metodologia!$B$16</x:f>
        <x:v>104</x:v>
      </x:c>
      <x:c r="R34" s="143" t="n">
        <x:f>MIN(L34,N34)*Metodologia!$B$16</x:f>
        <x:v>52</x:v>
      </x:c>
      <x:c r="S34" s="143" t="n">
        <x:f>SQRT(K34*AVERAGE(M34,O34)*Metodologia!$B$16)</x:f>
        <x:v>72.11102550927978</x:v>
      </x:c>
      <x:c r="T34" s="82" t="str">
        <x:v>Sim</x:v>
      </x:c>
      <x:c r="U34" s="82" t="str">
        <x:v>Rankeado</x:v>
      </x:c>
      <x:c r="V34" s="82" t="str">
        <x:v>Perfil físico; melhor atributo ofensivo 80, ofensiva secundária 40, robustez relativa 47% e Speed 25. O índice privilegia dano de hunt, sem ignorar sobrevivência.</x:v>
      </x:c>
      <x:c r="W34" s="82" t="str">
        <x:v>Fica atrás de Nidorino principalmente por velocidade 61.5% menor e ofensiva secundária 27.3% menor.</x:v>
      </x:c>
      <x:c r="X34" s="82" t="str">
        <x:v>Fica à frente de Bellsprout porque possui robustez sustentada 56.9% maior e teto ofensivo 6.7% maior.</x:v>
      </x:c>
      <x:c r="Y34" s="154" t="str">
        <x:v>https://poke.idleworld.online/pokepedia/pokemon/grimer</x:v>
      </x:c>
    </x:row>
    <x:row r="35" ht="48" customHeight="1">
      <x:c r="A35" s="82" t="n">
        <x:f>IF(U35&lt;&gt;"Rankeado","",COUNTIFS($U$5:$U$48,"Rankeado",$I$5:$I$48,"&gt;"&amp;I35)+COUNTIFS($U$5:U35,"Rankeado",$I$5:I35,I35))</x:f>
        <x:v>31</x:v>
      </x:c>
      <x:c r="B35" s="82" t="n">
        <x:f>COUNTIF($I$5:$I$48,"&gt;"&amp;I35)+COUNTIF($I$5:I35,I35)</x:f>
        <x:v>31</x:v>
      </x:c>
      <x:c r="C35" s="82" t="str">
        <x:f>IF(I35&gt;=80,"S+",IF(I35&gt;=72,"S",IF(I35&gt;=65,"A",IF(I35&gt;=58,"B",IF(I35&gt;=50,"C",IF(I35&gt;=42,"D","E"))))))</x:f>
        <x:v>D</x:v>
      </x:c>
      <x:c r="D35" s="82" t="str">
        <x:f>IF(AND(U35="Rankeado",A35&lt;=6),"Sim","Não")</x:f>
        <x:v>Não</x:v>
      </x:c>
      <x:c r="E35" s="82" t="n">
        <x:v>69</x:v>
      </x:c>
      <x:c r="F35" s="80" t="str">
        <x:v>Bellsprout</x:v>
      </x:c>
      <x:c r="G35" s="82" t="str">
        <x:v>Planta / Veneno</x:v>
      </x:c>
      <x:c r="H35" s="82" t="str">
        <x:v>Misto</x:v>
      </x:c>
      <x:c r="I35" s="142" t="n">
        <x:f>ROUND(100*(Metodologia!$B$17*(Q35/Metodologia!$B$22)+Metodologia!$B$18*(R35/Metodologia!$B$23)+Metodologia!$B$19*(S35/Metodologia!$B$24)+Metodologia!$B$20*(P35/Metodologia!$B$25)+Metodologia!$B$21*(J35/Metodologia!$B$26)),2)</x:f>
        <x:v>44.9</x:v>
      </x:c>
      <x:c r="J35" s="82" t="n">
        <x:f>SUM(K35:P35)</x:f>
        <x:v>300</x:v>
      </x:c>
      <x:c r="K35" s="82" t="n">
        <x:v>50</x:v>
      </x:c>
      <x:c r="L35" s="82" t="n">
        <x:v>75</x:v>
      </x:c>
      <x:c r="M35" s="82" t="n">
        <x:v>35</x:v>
      </x:c>
      <x:c r="N35" s="82" t="n">
        <x:v>70</x:v>
      </x:c>
      <x:c r="O35" s="82" t="n">
        <x:v>30</x:v>
      </x:c>
      <x:c r="P35" s="82" t="n">
        <x:v>40</x:v>
      </x:c>
      <x:c r="Q35" s="143" t="n">
        <x:f>MAX(L35,N35)*Metodologia!$B$16</x:f>
        <x:v>97.5</x:v>
      </x:c>
      <x:c r="R35" s="143" t="n">
        <x:f>MIN(L35,N35)*Metodologia!$B$16</x:f>
        <x:v>91</x:v>
      </x:c>
      <x:c r="S35" s="143" t="n">
        <x:f>SQRT(K35*AVERAGE(M35,O35)*Metodologia!$B$16)</x:f>
        <x:v>45.96194077712559</x:v>
      </x:c>
      <x:c r="T35" s="82" t="str">
        <x:v>Sim</x:v>
      </x:c>
      <x:c r="U35" s="82" t="str">
        <x:v>Rankeado</x:v>
      </x:c>
      <x:c r="V35" s="82" t="str">
        <x:v>Perfil misto; melhor atributo ofensivo 75, ofensiva secundária 70, robustez relativa 30% e Speed 40. O índice privilegia dano de hunt, sem ignorar sobrevivência.</x:v>
      </x:c>
      <x:c r="W35" s="82" t="str">
        <x:v>Fica atrás de Grimer principalmente por robustez sustentada 36.3% menor e teto ofensivo 6.2% menor.</x:v>
      </x:c>
      <x:c r="X35" s="82" t="str">
        <x:v>Fica à frente de Oddish porque possui ofensiva secundária 40.0% maior e velocidade 33.3% maior.</x:v>
      </x:c>
      <x:c r="Y35" s="154" t="str">
        <x:v>https://poke.idleworld.online/pokepedia/pokemon/bellsprout</x:v>
      </x:c>
    </x:row>
    <x:row r="36" ht="48" customHeight="1">
      <x:c r="A36" s="82" t="n">
        <x:f>IF(U36&lt;&gt;"Rankeado","",COUNTIFS($U$5:$U$48,"Rankeado",$I$5:$I$48,"&gt;"&amp;I36)+COUNTIFS($U$5:U36,"Rankeado",$I$5:I36,I36))</x:f>
        <x:v>32</x:v>
      </x:c>
      <x:c r="B36" s="82" t="n">
        <x:f>COUNTIF($I$5:$I$48,"&gt;"&amp;I36)+COUNTIF($I$5:I36,I36)</x:f>
        <x:v>32</x:v>
      </x:c>
      <x:c r="C36" s="82" t="str">
        <x:f>IF(I36&gt;=80,"S+",IF(I36&gt;=72,"S",IF(I36&gt;=65,"A",IF(I36&gt;=58,"B",IF(I36&gt;=50,"C",IF(I36&gt;=42,"D","E"))))))</x:f>
        <x:v>D</x:v>
      </x:c>
      <x:c r="D36" s="82" t="str">
        <x:f>IF(AND(U36="Rankeado",A36&lt;=6),"Sim","Não")</x:f>
        <x:v>Não</x:v>
      </x:c>
      <x:c r="E36" s="82" t="n">
        <x:v>43</x:v>
      </x:c>
      <x:c r="F36" s="80" t="str">
        <x:v>Oddish</x:v>
      </x:c>
      <x:c r="G36" s="82" t="str">
        <x:v>Planta / Veneno</x:v>
      </x:c>
      <x:c r="H36" s="82" t="str">
        <x:v>Especial</x:v>
      </x:c>
      <x:c r="I36" s="142" t="n">
        <x:f>ROUND(100*(Metodologia!$B$17*(Q36/Metodologia!$B$22)+Metodologia!$B$18*(R36/Metodologia!$B$23)+Metodologia!$B$19*(S36/Metodologia!$B$24)+Metodologia!$B$20*(P36/Metodologia!$B$25)+Metodologia!$B$21*(J36/Metodologia!$B$26)),2)</x:f>
        <x:v>43.85</x:v>
      </x:c>
      <x:c r="J36" s="82" t="n">
        <x:f>SUM(K36:P36)</x:f>
        <x:v>320</x:v>
      </x:c>
      <x:c r="K36" s="82" t="n">
        <x:v>45</x:v>
      </x:c>
      <x:c r="L36" s="82" t="n">
        <x:v>50</x:v>
      </x:c>
      <x:c r="M36" s="82" t="n">
        <x:v>55</x:v>
      </x:c>
      <x:c r="N36" s="82" t="n">
        <x:v>75</x:v>
      </x:c>
      <x:c r="O36" s="82" t="n">
        <x:v>65</x:v>
      </x:c>
      <x:c r="P36" s="82" t="n">
        <x:v>30</x:v>
      </x:c>
      <x:c r="Q36" s="143" t="n">
        <x:f>MAX(L36,N36)*Metodologia!$B$16</x:f>
        <x:v>97.5</x:v>
      </x:c>
      <x:c r="R36" s="143" t="n">
        <x:f>MIN(L36,N36)*Metodologia!$B$16</x:f>
        <x:v>65</x:v>
      </x:c>
      <x:c r="S36" s="143" t="n">
        <x:f>SQRT(K36*AVERAGE(M36,O36)*Metodologia!$B$16)</x:f>
        <x:v>59.2452529743945</x:v>
      </x:c>
      <x:c r="T36" s="82" t="str">
        <x:v>Sim</x:v>
      </x:c>
      <x:c r="U36" s="82" t="str">
        <x:v>Rankeado</x:v>
      </x:c>
      <x:c r="V36" s="82" t="str">
        <x:v>Perfil especial; melhor atributo ofensivo 75, ofensiva secundária 50, robustez relativa 38% e Speed 30. O índice privilegia dano de hunt, sem ignorar sobrevivência.</x:v>
      </x:c>
      <x:c r="W36" s="82" t="str">
        <x:v>Fica atrás de Bellsprout principalmente por ofensiva secundária 28.6% menor e velocidade 25.0% menor.</x:v>
      </x:c>
      <x:c r="X36" s="82" t="str">
        <x:v>Fica à frente de Nidorina porque possui teto ofensivo 21.0% maior.</x:v>
      </x:c>
      <x:c r="Y36" s="154" t="str">
        <x:v>https://poke.idleworld.online/pokepedia/pokemon/oddish</x:v>
      </x:c>
    </x:row>
    <x:row r="37" ht="48" customHeight="1">
      <x:c r="A37" s="82" t="n">
        <x:f>IF(U37&lt;&gt;"Rankeado","",COUNTIFS($U$5:$U$48,"Rankeado",$I$5:$I$48,"&gt;"&amp;I37)+COUNTIFS($U$5:U37,"Rankeado",$I$5:I37,I37))</x:f>
        <x:v>33</x:v>
      </x:c>
      <x:c r="B37" s="82" t="n">
        <x:f>COUNTIF($I$5:$I$48,"&gt;"&amp;I37)+COUNTIF($I$5:I37,I37)</x:f>
        <x:v>33</x:v>
      </x:c>
      <x:c r="C37" s="82" t="str">
        <x:f>IF(I37&gt;=80,"S+",IF(I37&gt;=72,"S",IF(I37&gt;=65,"A",IF(I37&gt;=58,"B",IF(I37&gt;=50,"C",IF(I37&gt;=42,"D","E"))))))</x:f>
        <x:v>D</x:v>
      </x:c>
      <x:c r="D37" s="82" t="str">
        <x:f>IF(AND(U37="Rankeado",A37&lt;=6),"Sim","Não")</x:f>
        <x:v>Não</x:v>
      </x:c>
      <x:c r="E37" s="82" t="n">
        <x:v>30</x:v>
      </x:c>
      <x:c r="F37" s="80" t="str">
        <x:v>Nidorina</x:v>
      </x:c>
      <x:c r="G37" s="82" t="str">
        <x:v>Veneno</x:v>
      </x:c>
      <x:c r="H37" s="82" t="str">
        <x:v>Misto</x:v>
      </x:c>
      <x:c r="I37" s="142" t="n">
        <x:f>ROUND(100*(Metodologia!$B$17*(Q37/Metodologia!$B$22)+Metodologia!$B$18*(R37/Metodologia!$B$23)+Metodologia!$B$19*(S37/Metodologia!$B$24)+Metodologia!$B$20*(P37/Metodologia!$B$25)+Metodologia!$B$21*(J37/Metodologia!$B$26)),2)</x:f>
        <x:v>42.78</x:v>
      </x:c>
      <x:c r="J37" s="82" t="n">
        <x:f>SUM(K37:P37)</x:f>
        <x:v>365</x:v>
      </x:c>
      <x:c r="K37" s="82" t="n">
        <x:v>70</x:v>
      </x:c>
      <x:c r="L37" s="82" t="n">
        <x:v>62</x:v>
      </x:c>
      <x:c r="M37" s="82" t="n">
        <x:v>67</x:v>
      </x:c>
      <x:c r="N37" s="82" t="n">
        <x:v>55</x:v>
      </x:c>
      <x:c r="O37" s="82" t="n">
        <x:v>55</x:v>
      </x:c>
      <x:c r="P37" s="82" t="n">
        <x:v>56</x:v>
      </x:c>
      <x:c r="Q37" s="143" t="n">
        <x:f>MAX(L37,N37)*Metodologia!$B$16</x:f>
        <x:v>80.60000000000001</x:v>
      </x:c>
      <x:c r="R37" s="143" t="n">
        <x:f>MIN(L37,N37)*Metodologia!$B$16</x:f>
        <x:v>71.5</x:v>
      </x:c>
      <x:c r="S37" s="143" t="n">
        <x:f>SQRT(K37*AVERAGE(M37,O37)*Metodologia!$B$16)</x:f>
        <x:v>74.50503338701353</x:v>
      </x:c>
      <x:c r="T37" s="82" t="str">
        <x:v>Sim</x:v>
      </x:c>
      <x:c r="U37" s="82" t="str">
        <x:v>Rankeado</x:v>
      </x:c>
      <x:c r="V37" s="82" t="str">
        <x:v>Perfil misto; melhor atributo ofensivo 62, ofensiva secundária 55, robustez relativa 48% e Speed 56. O índice privilegia dano de hunt, sem ignorar sobrevivência.</x:v>
      </x:c>
      <x:c r="W37" s="82" t="str">
        <x:v>Fica atrás de Oddish principalmente por teto ofensivo 17.3% menor.</x:v>
      </x:c>
      <x:c r="X37" s="82" t="str">
        <x:v>Fica à frente de Koffing porque possui velocidade 60.0% maior e robustez sustentada 23.5% maior.</x:v>
      </x:c>
      <x:c r="Y37" s="154" t="str">
        <x:v>https://poke.idleworld.online/pokepedia/pokemon/nidorina</x:v>
      </x:c>
    </x:row>
    <x:row r="38" ht="48" customHeight="1">
      <x:c r="A38" s="82" t="n">
        <x:f>IF(U38&lt;&gt;"Rankeado","",COUNTIFS($U$5:$U$48,"Rankeado",$I$5:$I$48,"&gt;"&amp;I38)+COUNTIFS($U$5:U38,"Rankeado",$I$5:I38,I38))</x:f>
        <x:v>34</x:v>
      </x:c>
      <x:c r="B38" s="82" t="n">
        <x:f>COUNTIF($I$5:$I$48,"&gt;"&amp;I38)+COUNTIF($I$5:I38,I38)</x:f>
        <x:v>34</x:v>
      </x:c>
      <x:c r="C38" s="82" t="str">
        <x:f>IF(I38&gt;=80,"S+",IF(I38&gt;=72,"S",IF(I38&gt;=65,"A",IF(I38&gt;=58,"B",IF(I38&gt;=50,"C",IF(I38&gt;=42,"D","E"))))))</x:f>
        <x:v>E</x:v>
      </x:c>
      <x:c r="D38" s="82" t="str">
        <x:f>IF(AND(U38="Rankeado",A38&lt;=6),"Sim","Não")</x:f>
        <x:v>Não</x:v>
      </x:c>
      <x:c r="E38" s="82" t="n">
        <x:v>109</x:v>
      </x:c>
      <x:c r="F38" s="80" t="str">
        <x:v>Koffing</x:v>
      </x:c>
      <x:c r="G38" s="82" t="str">
        <x:v>Veneno</x:v>
      </x:c>
      <x:c r="H38" s="82" t="str">
        <x:v>Misto</x:v>
      </x:c>
      <x:c r="I38" s="142" t="n">
        <x:f>ROUND(100*(Metodologia!$B$17*(Q38/Metodologia!$B$22)+Metodologia!$B$18*(R38/Metodologia!$B$23)+Metodologia!$B$19*(S38/Metodologia!$B$24)+Metodologia!$B$20*(P38/Metodologia!$B$25)+Metodologia!$B$21*(J38/Metodologia!$B$26)),2)</x:f>
        <x:v>41.45</x:v>
      </x:c>
      <x:c r="J38" s="82" t="n">
        <x:f>SUM(K38:P38)</x:f>
        <x:v>340</x:v>
      </x:c>
      <x:c r="K38" s="82" t="n">
        <x:v>40</x:v>
      </x:c>
      <x:c r="L38" s="82" t="n">
        <x:v>65</x:v>
      </x:c>
      <x:c r="M38" s="82" t="n">
        <x:v>95</x:v>
      </x:c>
      <x:c r="N38" s="82" t="n">
        <x:v>60</x:v>
      </x:c>
      <x:c r="O38" s="82" t="n">
        <x:v>45</x:v>
      </x:c>
      <x:c r="P38" s="82" t="n">
        <x:v>35</x:v>
      </x:c>
      <x:c r="Q38" s="143" t="n">
        <x:f>MAX(L38,N38)*Metodologia!$B$16</x:f>
        <x:v>84.5</x:v>
      </x:c>
      <x:c r="R38" s="143" t="n">
        <x:f>MIN(L38,N38)*Metodologia!$B$16</x:f>
        <x:v>78</x:v>
      </x:c>
      <x:c r="S38" s="143" t="n">
        <x:f>SQRT(K38*AVERAGE(M38,O38)*Metodologia!$B$16)</x:f>
        <x:v>60.332412515993425</x:v>
      </x:c>
      <x:c r="T38" s="82" t="str">
        <x:v>Sim</x:v>
      </x:c>
      <x:c r="U38" s="82" t="str">
        <x:v>Rankeado</x:v>
      </x:c>
      <x:c r="V38" s="82" t="str">
        <x:v>Perfil misto; melhor atributo ofensivo 65, ofensiva secundária 60, robustez relativa 39% e Speed 35. O índice privilegia dano de hunt, sem ignorar sobrevivência.</x:v>
      </x:c>
      <x:c r="W38" s="82" t="str">
        <x:v>Fica atrás de Nidorina principalmente por velocidade 37.5% menor e robustez sustentada 19.0% menor.</x:v>
      </x:c>
      <x:c r="X38" s="82" t="str">
        <x:v>Fica à frente de Bulbasaur porque possui ofensiva secundária 22.4% maior e robustez sustentada 4.5% maior.</x:v>
      </x:c>
      <x:c r="Y38" s="154" t="str">
        <x:v>https://poke.idleworld.online/pokepedia/pokemon/koffing</x:v>
      </x:c>
    </x:row>
    <x:row r="39" ht="48" customHeight="1">
      <x:c r="A39" s="82" t="n">
        <x:f>IF(U39&lt;&gt;"Rankeado","",COUNTIFS($U$5:$U$48,"Rankeado",$I$5:$I$48,"&gt;"&amp;I39)+COUNTIFS($U$5:U39,"Rankeado",$I$5:I39,I39))</x:f>
        <x:v>35</x:v>
      </x:c>
      <x:c r="B39" s="82" t="n">
        <x:f>COUNTIF($I$5:$I$48,"&gt;"&amp;I39)+COUNTIF($I$5:I39,I39)</x:f>
        <x:v>35</x:v>
      </x:c>
      <x:c r="C39" s="82" t="str">
        <x:f>IF(I39&gt;=80,"S+",IF(I39&gt;=72,"S",IF(I39&gt;=65,"A",IF(I39&gt;=58,"B",IF(I39&gt;=50,"C",IF(I39&gt;=42,"D","E"))))))</x:f>
        <x:v>E</x:v>
      </x:c>
      <x:c r="D39" s="82" t="str">
        <x:f>IF(AND(U39="Rankeado",A39&lt;=6),"Sim","Não")</x:f>
        <x:v>Não</x:v>
      </x:c>
      <x:c r="E39" s="82" t="n">
        <x:v>1</x:v>
      </x:c>
      <x:c r="F39" s="80" t="str">
        <x:v>Bulbasaur</x:v>
      </x:c>
      <x:c r="G39" s="82" t="str">
        <x:v>Planta / Veneno</x:v>
      </x:c>
      <x:c r="H39" s="82" t="str">
        <x:v>Especial</x:v>
      </x:c>
      <x:c r="I39" s="142" t="n">
        <x:f>ROUND(100*(Metodologia!$B$17*(Q39/Metodologia!$B$22)+Metodologia!$B$18*(R39/Metodologia!$B$23)+Metodologia!$B$19*(S39/Metodologia!$B$24)+Metodologia!$B$20*(P39/Metodologia!$B$25)+Metodologia!$B$21*(J39/Metodologia!$B$26)),2)</x:f>
        <x:v>40.7</x:v>
      </x:c>
      <x:c r="J39" s="82" t="n">
        <x:f>SUM(K39:P39)</x:f>
        <x:v>318</x:v>
      </x:c>
      <x:c r="K39" s="82" t="n">
        <x:v>45</x:v>
      </x:c>
      <x:c r="L39" s="82" t="n">
        <x:v>49</x:v>
      </x:c>
      <x:c r="M39" s="82" t="n">
        <x:v>49</x:v>
      </x:c>
      <x:c r="N39" s="82" t="n">
        <x:v>65</x:v>
      </x:c>
      <x:c r="O39" s="82" t="n">
        <x:v>65</x:v>
      </x:c>
      <x:c r="P39" s="82" t="n">
        <x:v>45</x:v>
      </x:c>
      <x:c r="Q39" s="143" t="n">
        <x:f>MAX(L39,N39)*Metodologia!$B$16</x:f>
        <x:v>84.5</x:v>
      </x:c>
      <x:c r="R39" s="143" t="n">
        <x:f>MIN(L39,N39)*Metodologia!$B$16</x:f>
        <x:v>63.7</x:v>
      </x:c>
      <x:c r="S39" s="143" t="n">
        <x:f>SQRT(K39*AVERAGE(M39,O39)*Metodologia!$B$16)</x:f>
        <x:v>57.745129664760476</x:v>
      </x:c>
      <x:c r="T39" s="82" t="str">
        <x:v>Sim</x:v>
      </x:c>
      <x:c r="U39" s="82" t="str">
        <x:v>Rankeado</x:v>
      </x:c>
      <x:c r="V39" s="82" t="str">
        <x:v>Perfil especial; melhor atributo ofensivo 65, ofensiva secundária 49, robustez relativa 37% e Speed 45. O índice privilegia dano de hunt, sem ignorar sobrevivência.</x:v>
      </x:c>
      <x:c r="W39" s="82" t="str">
        <x:v>Fica atrás de Koffing principalmente por ofensiva secundária 18.3% menor e robustez sustentada 4.3% menor.</x:v>
      </x:c>
      <x:c r="X39" s="82" t="str">
        <x:v>Fica à frente de Ekans porque possui teto ofensivo 8.3% maior e robustez sustentada 22.3% maior.</x:v>
      </x:c>
      <x:c r="Y39" s="154" t="str">
        <x:v>https://poke.idleworld.online/pokepedia/pokemon/bulbasaur</x:v>
      </x:c>
    </x:row>
    <x:row r="40" ht="48" customHeight="1">
      <x:c r="A40" s="82" t="n">
        <x:f>IF(U40&lt;&gt;"Rankeado","",COUNTIFS($U$5:$U$48,"Rankeado",$I$5:$I$48,"&gt;"&amp;I40)+COUNTIFS($U$5:U40,"Rankeado",$I$5:I40,I40))</x:f>
        <x:v>36</x:v>
      </x:c>
      <x:c r="B40" s="82" t="n">
        <x:f>COUNTIF($I$5:$I$48,"&gt;"&amp;I40)+COUNTIF($I$5:I40,I40)</x:f>
        <x:v>36</x:v>
      </x:c>
      <x:c r="C40" s="82" t="str">
        <x:f>IF(I40&gt;=80,"S+",IF(I40&gt;=72,"S",IF(I40&gt;=65,"A",IF(I40&gt;=58,"B",IF(I40&gt;=50,"C",IF(I40&gt;=42,"D","E"))))))</x:f>
        <x:v>E</x:v>
      </x:c>
      <x:c r="D40" s="82" t="str">
        <x:f>IF(AND(U40="Rankeado",A40&lt;=6),"Sim","Não")</x:f>
        <x:v>Não</x:v>
      </x:c>
      <x:c r="E40" s="82" t="n">
        <x:v>23</x:v>
      </x:c>
      <x:c r="F40" s="80" t="str">
        <x:v>Ekans</x:v>
      </x:c>
      <x:c r="G40" s="82" t="str">
        <x:v>Veneno</x:v>
      </x:c>
      <x:c r="H40" s="82" t="str">
        <x:v>Físico</x:v>
      </x:c>
      <x:c r="I40" s="142" t="n">
        <x:f>ROUND(100*(Metodologia!$B$17*(Q40/Metodologia!$B$22)+Metodologia!$B$18*(R40/Metodologia!$B$23)+Metodologia!$B$19*(S40/Metodologia!$B$24)+Metodologia!$B$20*(P40/Metodologia!$B$25)+Metodologia!$B$21*(J40/Metodologia!$B$26)),2)</x:f>
        <x:v>37.37</x:v>
      </x:c>
      <x:c r="J40" s="82" t="n">
        <x:f>SUM(K40:P40)</x:f>
        <x:v>288</x:v>
      </x:c>
      <x:c r="K40" s="82" t="n">
        <x:v>35</x:v>
      </x:c>
      <x:c r="L40" s="82" t="n">
        <x:v>60</x:v>
      </x:c>
      <x:c r="M40" s="82" t="n">
        <x:v>44</x:v>
      </x:c>
      <x:c r="N40" s="82" t="n">
        <x:v>40</x:v>
      </x:c>
      <x:c r="O40" s="82" t="n">
        <x:v>54</x:v>
      </x:c>
      <x:c r="P40" s="82" t="n">
        <x:v>55</x:v>
      </x:c>
      <x:c r="Q40" s="143" t="n">
        <x:f>MAX(L40,N40)*Metodologia!$B$16</x:f>
        <x:v>78</x:v>
      </x:c>
      <x:c r="R40" s="143" t="n">
        <x:f>MIN(L40,N40)*Metodologia!$B$16</x:f>
        <x:v>52</x:v>
      </x:c>
      <x:c r="S40" s="143" t="n">
        <x:f>SQRT(K40*AVERAGE(M40,O40)*Metodologia!$B$16)</x:f>
        <x:v>47.217581471312144</x:v>
      </x:c>
      <x:c r="T40" s="82" t="str">
        <x:v>Sim</x:v>
      </x:c>
      <x:c r="U40" s="82" t="str">
        <x:v>Rankeado</x:v>
      </x:c>
      <x:c r="V40" s="82" t="str">
        <x:v>Perfil físico; melhor atributo ofensivo 60, ofensiva secundária 40, robustez relativa 30% e Speed 55. O índice privilegia dano de hunt, sem ignorar sobrevivência.</x:v>
      </x:c>
      <x:c r="W40" s="82" t="str">
        <x:v>Fica atrás de Bulbasaur principalmente por teto ofensivo 7.7% menor e robustez sustentada 18.2% menor.</x:v>
      </x:c>
      <x:c r="X40" s="82" t="str">
        <x:v>Fica à frente de Venonat porque possui teto ofensivo 9.1% maior e velocidade 22.2% maior.</x:v>
      </x:c>
      <x:c r="Y40" s="154" t="str">
        <x:v>https://poke.idleworld.online/pokepedia/pokemon/ekans</x:v>
      </x:c>
    </x:row>
    <x:row r="41" ht="48" customHeight="1">
      <x:c r="A41" s="82" t="n">
        <x:f>IF(U41&lt;&gt;"Rankeado","",COUNTIFS($U$5:$U$48,"Rankeado",$I$5:$I$48,"&gt;"&amp;I41)+COUNTIFS($U$5:U41,"Rankeado",$I$5:I41,I41))</x:f>
        <x:v>37</x:v>
      </x:c>
      <x:c r="B41" s="82" t="n">
        <x:f>COUNTIF($I$5:$I$48,"&gt;"&amp;I41)+COUNTIF($I$5:I41,I41)</x:f>
        <x:v>37</x:v>
      </x:c>
      <x:c r="C41" s="82" t="str">
        <x:f>IF(I41&gt;=80,"S+",IF(I41&gt;=72,"S",IF(I41&gt;=65,"A",IF(I41&gt;=58,"B",IF(I41&gt;=50,"C",IF(I41&gt;=42,"D","E"))))))</x:f>
        <x:v>E</x:v>
      </x:c>
      <x:c r="D41" s="82" t="str">
        <x:f>IF(AND(U41="Rankeado",A41&lt;=6),"Sim","Não")</x:f>
        <x:v>Não</x:v>
      </x:c>
      <x:c r="E41" s="82" t="n">
        <x:v>48</x:v>
      </x:c>
      <x:c r="F41" s="80" t="str">
        <x:v>Venonat</x:v>
      </x:c>
      <x:c r="G41" s="82" t="str">
        <x:v>Inseto / Veneno</x:v>
      </x:c>
      <x:c r="H41" s="82" t="str">
        <x:v>Físico</x:v>
      </x:c>
      <x:c r="I41" s="142" t="n">
        <x:f>ROUND(100*(Metodologia!$B$17*(Q41/Metodologia!$B$22)+Metodologia!$B$18*(R41/Metodologia!$B$23)+Metodologia!$B$19*(S41/Metodologia!$B$24)+Metodologia!$B$20*(P41/Metodologia!$B$25)+Metodologia!$B$21*(J41/Metodologia!$B$26)),2)</x:f>
        <x:v>36.5</x:v>
      </x:c>
      <x:c r="J41" s="82" t="n">
        <x:f>SUM(K41:P41)</x:f>
        <x:v>305</x:v>
      </x:c>
      <x:c r="K41" s="82" t="n">
        <x:v>60</x:v>
      </x:c>
      <x:c r="L41" s="82" t="n">
        <x:v>55</x:v>
      </x:c>
      <x:c r="M41" s="82" t="n">
        <x:v>50</x:v>
      </x:c>
      <x:c r="N41" s="82" t="n">
        <x:v>40</x:v>
      </x:c>
      <x:c r="O41" s="82" t="n">
        <x:v>55</x:v>
      </x:c>
      <x:c r="P41" s="82" t="n">
        <x:v>45</x:v>
      </x:c>
      <x:c r="Q41" s="143" t="n">
        <x:f>MAX(L41,N41)*Metodologia!$B$16</x:f>
        <x:v>71.5</x:v>
      </x:c>
      <x:c r="R41" s="143" t="n">
        <x:f>MIN(L41,N41)*Metodologia!$B$16</x:f>
        <x:v>52</x:v>
      </x:c>
      <x:c r="S41" s="143" t="n">
        <x:f>SQRT(K41*AVERAGE(M41,O41)*Metodologia!$B$16)</x:f>
        <x:v>63.99218702310463</x:v>
      </x:c>
      <x:c r="T41" s="82" t="str">
        <x:v>Sim</x:v>
      </x:c>
      <x:c r="U41" s="82" t="str">
        <x:v>Rankeado</x:v>
      </x:c>
      <x:c r="V41" s="82" t="str">
        <x:v>Perfil físico; melhor atributo ofensivo 55, ofensiva secundária 40, robustez relativa 41% e Speed 45. O índice privilegia dano de hunt, sem ignorar sobrevivência.</x:v>
      </x:c>
      <x:c r="W41" s="82" t="str">
        <x:v>Fica atrás de Ekans principalmente por teto ofensivo 8.3% menor e velocidade 18.2% menor.</x:v>
      </x:c>
      <x:c r="X41" s="82" t="str">
        <x:v>Fica à frente de Tentacool porque possui teto ofensivo 10.0% maior e robustez sustentada 8.0% maior.</x:v>
      </x:c>
      <x:c r="Y41" s="154" t="str">
        <x:v>https://poke.idleworld.online/pokepedia/pokemon/venonat</x:v>
      </x:c>
    </x:row>
    <x:row r="42" ht="48" customHeight="1">
      <x:c r="A42" s="82" t="n">
        <x:f>IF(U42&lt;&gt;"Rankeado","",COUNTIFS($U$5:$U$48,"Rankeado",$I$5:$I$48,"&gt;"&amp;I42)+COUNTIFS($U$5:U42,"Rankeado",$I$5:I42,I42))</x:f>
        <x:v>38</x:v>
      </x:c>
      <x:c r="B42" s="82" t="n">
        <x:f>COUNTIF($I$5:$I$48,"&gt;"&amp;I42)+COUNTIF($I$5:I42,I42)</x:f>
        <x:v>38</x:v>
      </x:c>
      <x:c r="C42" s="82" t="str">
        <x:f>IF(I42&gt;=80,"S+",IF(I42&gt;=72,"S",IF(I42&gt;=65,"A",IF(I42&gt;=58,"B",IF(I42&gt;=50,"C",IF(I42&gt;=42,"D","E"))))))</x:f>
        <x:v>E</x:v>
      </x:c>
      <x:c r="D42" s="82" t="str">
        <x:f>IF(AND(U42="Rankeado",A42&lt;=6),"Sim","Não")</x:f>
        <x:v>Não</x:v>
      </x:c>
      <x:c r="E42" s="82" t="n">
        <x:v>72</x:v>
      </x:c>
      <x:c r="F42" s="80" t="str">
        <x:v>Tentacool</x:v>
      </x:c>
      <x:c r="G42" s="82" t="str">
        <x:v>Água / Veneno</x:v>
      </x:c>
      <x:c r="H42" s="82" t="str">
        <x:v>Misto</x:v>
      </x:c>
      <x:c r="I42" s="142" t="n">
        <x:f>ROUND(100*(Metodologia!$B$17*(Q42/Metodologia!$B$22)+Metodologia!$B$18*(R42/Metodologia!$B$23)+Metodologia!$B$19*(S42/Metodologia!$B$24)+Metodologia!$B$20*(P42/Metodologia!$B$25)+Metodologia!$B$21*(J42/Metodologia!$B$26)),2)</x:f>
        <x:v>35.98</x:v>
      </x:c>
      <x:c r="J42" s="82" t="n">
        <x:f>SUM(K42:P42)</x:f>
        <x:v>335</x:v>
      </x:c>
      <x:c r="K42" s="82" t="n">
        <x:v>40</x:v>
      </x:c>
      <x:c r="L42" s="82" t="n">
        <x:v>40</x:v>
      </x:c>
      <x:c r="M42" s="82" t="n">
        <x:v>35</x:v>
      </x:c>
      <x:c r="N42" s="82" t="n">
        <x:v>50</x:v>
      </x:c>
      <x:c r="O42" s="82" t="n">
        <x:v>100</x:v>
      </x:c>
      <x:c r="P42" s="82" t="n">
        <x:v>70</x:v>
      </x:c>
      <x:c r="Q42" s="143" t="n">
        <x:f>MAX(L42,N42)*Metodologia!$B$16</x:f>
        <x:v>65</x:v>
      </x:c>
      <x:c r="R42" s="143" t="n">
        <x:f>MIN(L42,N42)*Metodologia!$B$16</x:f>
        <x:v>52</x:v>
      </x:c>
      <x:c r="S42" s="143" t="n">
        <x:f>SQRT(K42*AVERAGE(M42,O42)*Metodologia!$B$16)</x:f>
        <x:v>59.2452529743945</x:v>
      </x:c>
      <x:c r="T42" s="82" t="str">
        <x:v>Sim</x:v>
      </x:c>
      <x:c r="U42" s="82" t="str">
        <x:v>Rankeado</x:v>
      </x:c>
      <x:c r="V42" s="82" t="str">
        <x:v>Perfil misto; melhor atributo ofensivo 50, ofensiva secundária 40, robustez relativa 38% e Speed 70. O índice privilegia dano de hunt, sem ignorar sobrevivência.</x:v>
      </x:c>
      <x:c r="W42" s="82" t="str">
        <x:v>Fica atrás de Venonat principalmente por teto ofensivo 9.1% menor e robustez sustentada 7.4% menor.</x:v>
      </x:c>
      <x:c r="X42" s="82" t="str">
        <x:v>Fica à frente de Nidoran♂ porque possui velocidade 40.0% maior e robustez sustentada 21.1% maior.</x:v>
      </x:c>
      <x:c r="Y42" s="154" t="str">
        <x:v>https://poke.idleworld.online/pokepedia/pokemon/tentacool</x:v>
      </x:c>
    </x:row>
    <x:row r="43" ht="48" customHeight="1">
      <x:c r="A43" s="82" t="n">
        <x:f>IF(U43&lt;&gt;"Rankeado","",COUNTIFS($U$5:$U$48,"Rankeado",$I$5:$I$48,"&gt;"&amp;I43)+COUNTIFS($U$5:U43,"Rankeado",$I$5:I43,I43))</x:f>
        <x:v>39</x:v>
      </x:c>
      <x:c r="B43" s="82" t="n">
        <x:f>COUNTIF($I$5:$I$48,"&gt;"&amp;I43)+COUNTIF($I$5:I43,I43)</x:f>
        <x:v>39</x:v>
      </x:c>
      <x:c r="C43" s="82" t="str">
        <x:f>IF(I43&gt;=80,"S+",IF(I43&gt;=72,"S",IF(I43&gt;=65,"A",IF(I43&gt;=58,"B",IF(I43&gt;=50,"C",IF(I43&gt;=42,"D","E"))))))</x:f>
        <x:v>E</x:v>
      </x:c>
      <x:c r="D43" s="82" t="str">
        <x:f>IF(AND(U43="Rankeado",A43&lt;=6),"Sim","Não")</x:f>
        <x:v>Não</x:v>
      </x:c>
      <x:c r="E43" s="82" t="n">
        <x:v>32</x:v>
      </x:c>
      <x:c r="F43" s="80" t="str">
        <x:v>Nidoran♂</x:v>
      </x:c>
      <x:c r="G43" s="82" t="str">
        <x:v>Veneno</x:v>
      </x:c>
      <x:c r="H43" s="82" t="str">
        <x:v>Físico</x:v>
      </x:c>
      <x:c r="I43" s="142" t="n">
        <x:f>ROUND(100*(Metodologia!$B$17*(Q43/Metodologia!$B$22)+Metodologia!$B$18*(R43/Metodologia!$B$23)+Metodologia!$B$19*(S43/Metodologia!$B$24)+Metodologia!$B$20*(P43/Metodologia!$B$25)+Metodologia!$B$21*(J43/Metodologia!$B$26)),2)</x:f>
        <x:v>35.92</x:v>
      </x:c>
      <x:c r="J43" s="82" t="n">
        <x:f>SUM(K43:P43)</x:f>
        <x:v>273</x:v>
      </x:c>
      <x:c r="K43" s="82" t="n">
        <x:v>46</x:v>
      </x:c>
      <x:c r="L43" s="82" t="n">
        <x:v>57</x:v>
      </x:c>
      <x:c r="M43" s="82" t="n">
        <x:v>40</x:v>
      </x:c>
      <x:c r="N43" s="82" t="n">
        <x:v>40</x:v>
      </x:c>
      <x:c r="O43" s="82" t="n">
        <x:v>40</x:v>
      </x:c>
      <x:c r="P43" s="82" t="n">
        <x:v>50</x:v>
      </x:c>
      <x:c r="Q43" s="143" t="n">
        <x:f>MAX(L43,N43)*Metodologia!$B$16</x:f>
        <x:v>74.10000000000001</x:v>
      </x:c>
      <x:c r="R43" s="143" t="n">
        <x:f>MIN(L43,N43)*Metodologia!$B$16</x:f>
        <x:v>52</x:v>
      </x:c>
      <x:c r="S43" s="143" t="n">
        <x:f>SQRT(K43*AVERAGE(M43,O43)*Metodologia!$B$16)</x:f>
        <x:v>48.908077042549934</x:v>
      </x:c>
      <x:c r="T43" s="82" t="str">
        <x:v>Sim</x:v>
      </x:c>
      <x:c r="U43" s="82" t="str">
        <x:v>Rankeado</x:v>
      </x:c>
      <x:c r="V43" s="82" t="str">
        <x:v>Perfil físico; melhor atributo ofensivo 57, ofensiva secundária 40, robustez relativa 32% e Speed 50. O índice privilegia dano de hunt, sem ignorar sobrevivência.</x:v>
      </x:c>
      <x:c r="W43" s="82" t="str">
        <x:v>Fica atrás de Tentacool principalmente por velocidade 28.6% menor e robustez sustentada 17.4% menor.</x:v>
      </x:c>
      <x:c r="X43" s="82" t="str">
        <x:v>Fica à frente de Spinarak porque possui velocidade 66.7% maior e robustez sustentada 7.2% maior.</x:v>
      </x:c>
      <x:c r="Y43" s="154" t="str">
        <x:v>https://poke.idleworld.online/pokepedia/pokemon/nidoran-m</x:v>
      </x:c>
    </x:row>
    <x:row r="44" ht="48" customHeight="1">
      <x:c r="A44" s="82" t="n">
        <x:f>IF(U44&lt;&gt;"Rankeado","",COUNTIFS($U$5:$U$48,"Rankeado",$I$5:$I$48,"&gt;"&amp;I44)+COUNTIFS($U$5:U44,"Rankeado",$I$5:I44,I44))</x:f>
        <x:v>40</x:v>
      </x:c>
      <x:c r="B44" s="82" t="n">
        <x:f>COUNTIF($I$5:$I$48,"&gt;"&amp;I44)+COUNTIF($I$5:I44,I44)</x:f>
        <x:v>40</x:v>
      </x:c>
      <x:c r="C44" s="82" t="str">
        <x:f>IF(I44&gt;=80,"S+",IF(I44&gt;=72,"S",IF(I44&gt;=65,"A",IF(I44&gt;=58,"B",IF(I44&gt;=50,"C",IF(I44&gt;=42,"D","E"))))))</x:f>
        <x:v>E</x:v>
      </x:c>
      <x:c r="D44" s="82" t="str">
        <x:f>IF(AND(U44="Rankeado",A44&lt;=6),"Sim","Não")</x:f>
        <x:v>Não</x:v>
      </x:c>
      <x:c r="E44" s="82" t="n">
        <x:v>167</x:v>
      </x:c>
      <x:c r="F44" s="80" t="str">
        <x:v>Spinarak</x:v>
      </x:c>
      <x:c r="G44" s="82" t="str">
        <x:v>Inseto / Veneno</x:v>
      </x:c>
      <x:c r="H44" s="82" t="str">
        <x:v>Físico</x:v>
      </x:c>
      <x:c r="I44" s="142" t="n">
        <x:f>ROUND(100*(Metodologia!$B$17*(Q44/Metodologia!$B$22)+Metodologia!$B$18*(R44/Metodologia!$B$23)+Metodologia!$B$19*(S44/Metodologia!$B$24)+Metodologia!$B$20*(P44/Metodologia!$B$25)+Metodologia!$B$21*(J44/Metodologia!$B$26)),2)</x:f>
        <x:v>35.26</x:v>
      </x:c>
      <x:c r="J44" s="82" t="n">
        <x:f>SUM(K44:P44)</x:f>
        <x:v>250</x:v>
      </x:c>
      <x:c r="K44" s="82" t="n">
        <x:v>40</x:v>
      </x:c>
      <x:c r="L44" s="82" t="n">
        <x:v>60</x:v>
      </x:c>
      <x:c r="M44" s="82" t="n">
        <x:v>40</x:v>
      </x:c>
      <x:c r="N44" s="82" t="n">
        <x:v>40</x:v>
      </x:c>
      <x:c r="O44" s="82" t="n">
        <x:v>40</x:v>
      </x:c>
      <x:c r="P44" s="82" t="n">
        <x:v>30</x:v>
      </x:c>
      <x:c r="Q44" s="143" t="n">
        <x:f>MAX(L44,N44)*Metodologia!$B$16</x:f>
        <x:v>78</x:v>
      </x:c>
      <x:c r="R44" s="143" t="n">
        <x:f>MIN(L44,N44)*Metodologia!$B$16</x:f>
        <x:v>52</x:v>
      </x:c>
      <x:c r="S44" s="143" t="n">
        <x:f>SQRT(K44*AVERAGE(M44,O44)*Metodologia!$B$16)</x:f>
        <x:v>45.60701700396552</x:v>
      </x:c>
      <x:c r="T44" s="82" t="str">
        <x:v>Não</x:v>
      </x:c>
      <x:c r="U44" s="82" t="str">
        <x:v>Rankeado</x:v>
      </x:c>
      <x:c r="V44" s="82" t="str">
        <x:v>Perfil físico; melhor atributo ofensivo 60, ofensiva secundária 40, robustez relativa 29% e Speed 30. O índice privilegia dano de hunt, sem ignorar sobrevivência.</x:v>
      </x:c>
      <x:c r="W44" s="82" t="str">
        <x:v>Fica atrás de Nidoran♂ principalmente por velocidade 40.0% menor e robustez sustentada 6.7% menor.</x:v>
      </x:c>
      <x:c r="X44" s="82" t="str">
        <x:v>Fica à frente de Nidoran♀ porque possui teto ofensivo 27.7% maior.</x:v>
      </x:c>
      <x:c r="Y44" s="154" t="str">
        <x:v>https://poke.idleworld.online/pokepedia/pokemon/spinarak</x:v>
      </x:c>
    </x:row>
    <x:row r="45" ht="48" customHeight="1">
      <x:c r="A45" s="82" t="n">
        <x:f>IF(U45&lt;&gt;"Rankeado","",COUNTIFS($U$5:$U$48,"Rankeado",$I$5:$I$48,"&gt;"&amp;I45)+COUNTIFS($U$5:U45,"Rankeado",$I$5:I45,I45))</x:f>
        <x:v>41</x:v>
      </x:c>
      <x:c r="B45" s="82" t="n">
        <x:f>COUNTIF($I$5:$I$48,"&gt;"&amp;I45)+COUNTIF($I$5:I45,I45)</x:f>
        <x:v>41</x:v>
      </x:c>
      <x:c r="C45" s="82" t="str">
        <x:f>IF(I45&gt;=80,"S+",IF(I45&gt;=72,"S",IF(I45&gt;=65,"A",IF(I45&gt;=58,"B",IF(I45&gt;=50,"C",IF(I45&gt;=42,"D","E"))))))</x:f>
        <x:v>E</x:v>
      </x:c>
      <x:c r="D45" s="82" t="str">
        <x:f>IF(AND(U45="Rankeado",A45&lt;=6),"Sim","Não")</x:f>
        <x:v>Não</x:v>
      </x:c>
      <x:c r="E45" s="82" t="n">
        <x:v>29</x:v>
      </x:c>
      <x:c r="F45" s="80" t="str">
        <x:v>Nidoran♀</x:v>
      </x:c>
      <x:c r="G45" s="82" t="str">
        <x:v>Veneno</x:v>
      </x:c>
      <x:c r="H45" s="82" t="str">
        <x:v>Misto</x:v>
      </x:c>
      <x:c r="I45" s="142" t="n">
        <x:f>ROUND(100*(Metodologia!$B$17*(Q45/Metodologia!$B$22)+Metodologia!$B$18*(R45/Metodologia!$B$23)+Metodologia!$B$19*(S45/Metodologia!$B$24)+Metodologia!$B$20*(P45/Metodologia!$B$25)+Metodologia!$B$21*(J45/Metodologia!$B$26)),2)</x:f>
        <x:v>32.25</x:v>
      </x:c>
      <x:c r="J45" s="82" t="n">
        <x:f>SUM(K45:P45)</x:f>
        <x:v>275</x:v>
      </x:c>
      <x:c r="K45" s="82" t="n">
        <x:v>55</x:v>
      </x:c>
      <x:c r="L45" s="82" t="n">
        <x:v>47</x:v>
      </x:c>
      <x:c r="M45" s="82" t="n">
        <x:v>52</x:v>
      </x:c>
      <x:c r="N45" s="82" t="n">
        <x:v>40</x:v>
      </x:c>
      <x:c r="O45" s="82" t="n">
        <x:v>40</x:v>
      </x:c>
      <x:c r="P45" s="82" t="n">
        <x:v>41</x:v>
      </x:c>
      <x:c r="Q45" s="143" t="n">
        <x:f>MAX(L45,N45)*Metodologia!$B$16</x:f>
        <x:v>61.1</x:v>
      </x:c>
      <x:c r="R45" s="143" t="n">
        <x:f>MIN(L45,N45)*Metodologia!$B$16</x:f>
        <x:v>52</x:v>
      </x:c>
      <x:c r="S45" s="143" t="n">
        <x:f>SQRT(K45*AVERAGE(M45,O45)*Metodologia!$B$16)</x:f>
        <x:v>57.34980383575867</x:v>
      </x:c>
      <x:c r="T45" s="82" t="str">
        <x:v>Sim</x:v>
      </x:c>
      <x:c r="U45" s="82" t="str">
        <x:v>Rankeado</x:v>
      </x:c>
      <x:c r="V45" s="82" t="str">
        <x:v>Perfil misto; melhor atributo ofensivo 47, ofensiva secundária 40, robustez relativa 37% e Speed 41. O índice privilegia dano de hunt, sem ignorar sobrevivência.</x:v>
      </x:c>
      <x:c r="W45" s="82" t="str">
        <x:v>Fica atrás de Spinarak principalmente por teto ofensivo 21.7% menor.</x:v>
      </x:c>
      <x:c r="X45" s="82" t="str">
        <x:v>Fica à frente de Zubat porque possui robustez sustentada 29.9% maior e ofensiva secundária 33.3% maior.</x:v>
      </x:c>
      <x:c r="Y45" s="154" t="str">
        <x:v>https://poke.idleworld.online/pokepedia/pokemon/nidoran-f</x:v>
      </x:c>
    </x:row>
    <x:row r="46" ht="48" customHeight="1">
      <x:c r="A46" s="82" t="n">
        <x:f>IF(U46&lt;&gt;"Rankeado","",COUNTIFS($U$5:$U$48,"Rankeado",$I$5:$I$48,"&gt;"&amp;I46)+COUNTIFS($U$5:U46,"Rankeado",$I$5:I46,I46))</x:f>
        <x:v>42</x:v>
      </x:c>
      <x:c r="B46" s="82" t="n">
        <x:f>COUNTIF($I$5:$I$48,"&gt;"&amp;I46)+COUNTIF($I$5:I46,I46)</x:f>
        <x:v>42</x:v>
      </x:c>
      <x:c r="C46" s="82" t="str">
        <x:f>IF(I46&gt;=80,"S+",IF(I46&gt;=72,"S",IF(I46&gt;=65,"A",IF(I46&gt;=58,"B",IF(I46&gt;=50,"C",IF(I46&gt;=42,"D","E"))))))</x:f>
        <x:v>E</x:v>
      </x:c>
      <x:c r="D46" s="82" t="str">
        <x:f>IF(AND(U46="Rankeado",A46&lt;=6),"Sim","Não")</x:f>
        <x:v>Não</x:v>
      </x:c>
      <x:c r="E46" s="82" t="n">
        <x:v>41</x:v>
      </x:c>
      <x:c r="F46" s="80" t="str">
        <x:v>Zubat</x:v>
      </x:c>
      <x:c r="G46" s="82" t="str">
        <x:v>Veneno / Voador</x:v>
      </x:c>
      <x:c r="H46" s="82" t="str">
        <x:v>Físico</x:v>
      </x:c>
      <x:c r="I46" s="142" t="n">
        <x:f>ROUND(100*(Metodologia!$B$17*(Q46/Metodologia!$B$22)+Metodologia!$B$18*(R46/Metodologia!$B$23)+Metodologia!$B$19*(S46/Metodologia!$B$24)+Metodologia!$B$20*(P46/Metodologia!$B$25)+Metodologia!$B$21*(J46/Metodologia!$B$26)),2)</x:f>
        <x:v>30</x:v>
      </x:c>
      <x:c r="J46" s="82" t="n">
        <x:f>SUM(K46:P46)</x:f>
        <x:v>245</x:v>
      </x:c>
      <x:c r="K46" s="82" t="n">
        <x:v>40</x:v>
      </x:c>
      <x:c r="L46" s="82" t="n">
        <x:v>45</x:v>
      </x:c>
      <x:c r="M46" s="82" t="n">
        <x:v>35</x:v>
      </x:c>
      <x:c r="N46" s="82" t="n">
        <x:v>30</x:v>
      </x:c>
      <x:c r="O46" s="82" t="n">
        <x:v>40</x:v>
      </x:c>
      <x:c r="P46" s="82" t="n">
        <x:v>55</x:v>
      </x:c>
      <x:c r="Q46" s="143" t="n">
        <x:f>MAX(L46,N46)*Metodologia!$B$16</x:f>
        <x:v>58.5</x:v>
      </x:c>
      <x:c r="R46" s="143" t="n">
        <x:f>MIN(L46,N46)*Metodologia!$B$16</x:f>
        <x:v>39</x:v>
      </x:c>
      <x:c r="S46" s="143" t="n">
        <x:f>SQRT(K46*AVERAGE(M46,O46)*Metodologia!$B$16)</x:f>
        <x:v>44.15880433163923</x:v>
      </x:c>
      <x:c r="T46" s="82" t="str">
        <x:v>Sim</x:v>
      </x:c>
      <x:c r="U46" s="82" t="str">
        <x:v>Rankeado</x:v>
      </x:c>
      <x:c r="V46" s="82" t="str">
        <x:v>Perfil físico; melhor atributo ofensivo 45, ofensiva secundária 30, robustez relativa 28% e Speed 55. O índice privilegia dano de hunt, sem ignorar sobrevivência.</x:v>
      </x:c>
      <x:c r="W46" s="82" t="str">
        <x:v>Fica atrás de Nidoran♀ principalmente por robustez sustentada 23.0% menor e ofensiva secundária 25.0% menor.</x:v>
      </x:c>
      <x:c r="X46" s="82" t="str">
        <x:v>Fica à frente de Weedle porque possui teto ofensivo 28.6% maior e ofensiva secundária 50.0% maior.</x:v>
      </x:c>
      <x:c r="Y46" s="154" t="str">
        <x:v>https://poke.idleworld.online/pokepedia/pokemon/zubat</x:v>
      </x:c>
    </x:row>
    <x:row r="47" ht="48" customHeight="1">
      <x:c r="A47" s="82" t="n">
        <x:f>IF(U47&lt;&gt;"Rankeado","",COUNTIFS($U$5:$U$48,"Rankeado",$I$5:$I$48,"&gt;"&amp;I47)+COUNTIFS($U$5:U47,"Rankeado",$I$5:I47,I47))</x:f>
        <x:v>43</x:v>
      </x:c>
      <x:c r="B47" s="82" t="n">
        <x:f>COUNTIF($I$5:$I$48,"&gt;"&amp;I47)+COUNTIF($I$5:I47,I47)</x:f>
        <x:v>43</x:v>
      </x:c>
      <x:c r="C47" s="82" t="str">
        <x:f>IF(I47&gt;=80,"S+",IF(I47&gt;=72,"S",IF(I47&gt;=65,"A",IF(I47&gt;=58,"B",IF(I47&gt;=50,"C",IF(I47&gt;=42,"D","E"))))))</x:f>
        <x:v>E</x:v>
      </x:c>
      <x:c r="D47" s="82" t="str">
        <x:f>IF(AND(U47="Rankeado",A47&lt;=6),"Sim","Não")</x:f>
        <x:v>Não</x:v>
      </x:c>
      <x:c r="E47" s="82" t="n">
        <x:v>13</x:v>
      </x:c>
      <x:c r="F47" s="80" t="str">
        <x:v>Weedle</x:v>
      </x:c>
      <x:c r="G47" s="82" t="str">
        <x:v>Inseto / Veneno</x:v>
      </x:c>
      <x:c r="H47" s="82" t="str">
        <x:v>Físico</x:v>
      </x:c>
      <x:c r="I47" s="142" t="n">
        <x:f>ROUND(100*(Metodologia!$B$17*(Q47/Metodologia!$B$22)+Metodologia!$B$18*(R47/Metodologia!$B$23)+Metodologia!$B$19*(S47/Metodologia!$B$24)+Metodologia!$B$20*(P47/Metodologia!$B$25)+Metodologia!$B$21*(J47/Metodologia!$B$26)),2)</x:f>
        <x:v>23.71</x:v>
      </x:c>
      <x:c r="J47" s="82" t="n">
        <x:f>SUM(K47:P47)</x:f>
        <x:v>195</x:v>
      </x:c>
      <x:c r="K47" s="82" t="n">
        <x:v>40</x:v>
      </x:c>
      <x:c r="L47" s="82" t="n">
        <x:v>35</x:v>
      </x:c>
      <x:c r="M47" s="82" t="n">
        <x:v>30</x:v>
      </x:c>
      <x:c r="N47" s="82" t="n">
        <x:v>20</x:v>
      </x:c>
      <x:c r="O47" s="82" t="n">
        <x:v>20</x:v>
      </x:c>
      <x:c r="P47" s="82" t="n">
        <x:v>50</x:v>
      </x:c>
      <x:c r="Q47" s="143" t="n">
        <x:f>MAX(L47,N47)*Metodologia!$B$16</x:f>
        <x:v>45.5</x:v>
      </x:c>
      <x:c r="R47" s="143" t="n">
        <x:f>MIN(L47,N47)*Metodologia!$B$16</x:f>
        <x:v>26</x:v>
      </x:c>
      <x:c r="S47" s="143" t="n">
        <x:f>SQRT(K47*AVERAGE(M47,O47)*Metodologia!$B$16)</x:f>
        <x:v>36.05551275463989</x:v>
      </x:c>
      <x:c r="T47" s="82" t="str">
        <x:v>Sim</x:v>
      </x:c>
      <x:c r="U47" s="82" t="str">
        <x:v>Rankeado</x:v>
      </x:c>
      <x:c r="V47" s="82" t="str">
        <x:v>Perfil físico; melhor atributo ofensivo 35, ofensiva secundária 20, robustez relativa 23% e Speed 50. O índice privilegia dano de hunt, sem ignorar sobrevivência.</x:v>
      </x:c>
      <x:c r="W47" s="82" t="str">
        <x:v>Fica atrás de Zubat principalmente por teto ofensivo 22.2% menor e ofensiva secundária 33.3% menor.</x:v>
      </x:c>
      <x:c r="X47" s="82" t="str">
        <x:v>Fica à frente de Kakuna porque possui teto ofensivo 40.0% maior e velocidade 42.9% maior.</x:v>
      </x:c>
      <x:c r="Y47" s="154" t="str">
        <x:v>https://poke.idleworld.online/pokepedia/pokemon/weedle</x:v>
      </x:c>
    </x:row>
    <x:row r="48" ht="48" customHeight="1">
      <x:c r="A48" s="86" t="n">
        <x:f>IF(U48&lt;&gt;"Rankeado","",COUNTIFS($U$5:$U$48,"Rankeado",$I$5:$I$48,"&gt;"&amp;I48)+COUNTIFS($U$5:U48,"Rankeado",$I$5:I48,I48))</x:f>
        <x:v>44</x:v>
      </x:c>
      <x:c r="B48" s="86" t="n">
        <x:f>COUNTIF($I$5:$I$48,"&gt;"&amp;I48)+COUNTIF($I$5:I48,I48)</x:f>
        <x:v>44</x:v>
      </x:c>
      <x:c r="C48" s="86" t="str">
        <x:f>IF(I48&gt;=80,"S+",IF(I48&gt;=72,"S",IF(I48&gt;=65,"A",IF(I48&gt;=58,"B",IF(I48&gt;=50,"C",IF(I48&gt;=42,"D","E"))))))</x:f>
        <x:v>E</x:v>
      </x:c>
      <x:c r="D48" s="86" t="str">
        <x:f>IF(AND(U48="Rankeado",A48&lt;=6),"Sim","Não")</x:f>
        <x:v>Não</x:v>
      </x:c>
      <x:c r="E48" s="86" t="n">
        <x:v>14</x:v>
      </x:c>
      <x:c r="F48" s="84" t="str">
        <x:v>Kakuna</x:v>
      </x:c>
      <x:c r="G48" s="86" t="str">
        <x:v>Inseto / Veneno</x:v>
      </x:c>
      <x:c r="H48" s="86" t="str">
        <x:v>Misto</x:v>
      </x:c>
      <x:c r="I48" s="145" t="n">
        <x:f>ROUND(100*(Metodologia!$B$17*(Q48/Metodologia!$B$22)+Metodologia!$B$18*(R48/Metodologia!$B$23)+Metodologia!$B$19*(S48/Metodologia!$B$24)+Metodologia!$B$20*(P48/Metodologia!$B$25)+Metodologia!$B$21*(J48/Metodologia!$B$26)),2)</x:f>
        <x:v>20.39</x:v>
      </x:c>
      <x:c r="J48" s="86" t="n">
        <x:f>SUM(K48:P48)</x:f>
        <x:v>205</x:v>
      </x:c>
      <x:c r="K48" s="86" t="n">
        <x:v>45</x:v>
      </x:c>
      <x:c r="L48" s="86" t="n">
        <x:v>25</x:v>
      </x:c>
      <x:c r="M48" s="86" t="n">
        <x:v>50</x:v>
      </x:c>
      <x:c r="N48" s="86" t="n">
        <x:v>25</x:v>
      </x:c>
      <x:c r="O48" s="86" t="n">
        <x:v>25</x:v>
      </x:c>
      <x:c r="P48" s="86" t="n">
        <x:v>35</x:v>
      </x:c>
      <x:c r="Q48" s="146" t="n">
        <x:f>MAX(L48,N48)*Metodologia!$B$16</x:f>
        <x:v>32.5</x:v>
      </x:c>
      <x:c r="R48" s="146" t="n">
        <x:f>MIN(L48,N48)*Metodologia!$B$16</x:f>
        <x:v>32.5</x:v>
      </x:c>
      <x:c r="S48" s="146" t="n">
        <x:f>SQRT(K48*AVERAGE(M48,O48)*Metodologia!$B$16)</x:f>
        <x:v>46.837484987987985</x:v>
      </x:c>
      <x:c r="T48" s="86" t="str">
        <x:v>Sim</x:v>
      </x:c>
      <x:c r="U48" s="86" t="str">
        <x:v>Rankeado</x:v>
      </x:c>
      <x:c r="V48" s="86" t="str">
        <x:v>Perfil misto; melhor atributo ofensivo 25, ofensiva secundária 25, robustez relativa 30% e Speed 35. O índice privilegia dano de hunt, sem ignorar sobrevivência.</x:v>
      </x:c>
      <x:c r="W48" s="86" t="str">
        <x:v>Fica atrás de Weedle principalmente por teto ofensivo 28.6% menor e velocidade 30.0% menor.</x:v>
      </x:c>
      <x:c r="X48" s="86" t="str">
        <x:v>É o último utilizável deste clã.</x:v>
      </x:c>
      <x:c r="Y48" s="155" t="str">
        <x:v>https://poke.idleworld.online/pokepedia/pokemon/kakuna</x:v>
      </x:c>
    </x:row>
  </x:sheetData>
  <x:mergeCells>
    <x:mergeCell ref="A1:Y1"/>
    <x:mergeCell ref="A2:Y2"/>
  </x:mergeCells>
  <x:conditionalFormatting sqref="I5:I48">
    <x:cfRule type="colorScale" priority="1">
      <x:colorScale>
        <x:cfvo type="min"/>
        <x:cfvo type="percentile" val="50"/>
        <x:cfvo type="max"/>
        <x:color rgb="FF6B1F1A"/>
        <x:color rgb="FFD98350"/>
        <x:color rgb="FF5F9D62"/>
      </x:colorScale>
    </x:cfRule>
  </x:conditionalFormatting>
  <x:conditionalFormatting sqref="A5:Y48">
    <x:cfRule type="expression" dxfId="18" priority="2">
      <x:formula>AND($D5="Sim",$U5="Rankeado")</x:formula>
    </x:cfRule>
    <x:cfRule type="expression" dxfId="19" priority="3">
      <x:formula>$U5="Excluído — lendário/mítico"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6b018d9337c4ac6"/>
  </x:tableParts>
</x:worksheet>
</file>